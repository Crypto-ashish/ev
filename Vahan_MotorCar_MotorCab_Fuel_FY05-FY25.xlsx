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tor_Car" sheetId="1" state="visible" r:id="rId3"/>
    <sheet name="Motor_Cab" sheetId="2" state="visible" r:id="rId4"/>
    <sheet name="Car_plus_Cab" sheetId="3" state="visible" r:id="rId5"/>
    <sheet name="Raw_Fuel_Detail" sheetId="4" state="visible" r:id="rId6"/>
    <sheet name="Fuel_Mapp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<sst xmlns="http://schemas.openxmlformats.org/spreadsheetml/2006/main" count="298" uniqueCount="98">
  <si>
    <t xml:space="preserve">Motor Car (private)</t>
  </si>
  <si>
    <t xml:space="preserve">Registrations (numbers) by fuel group. Formulas pull from Raw_Fuel_Detail using the fuel-group row.</t>
  </si>
  <si>
    <t xml:space="preserve">Financial Year</t>
  </si>
  <si>
    <t xml:space="preserve">EV</t>
  </si>
  <si>
    <t xml:space="preserve">Hybrid</t>
  </si>
  <si>
    <t xml:space="preserve">Petrol</t>
  </si>
  <si>
    <t xml:space="preserve">Diesel</t>
  </si>
  <si>
    <t xml:space="preserve">CNG</t>
  </si>
  <si>
    <t xml:space="preserve">LPG</t>
  </si>
  <si>
    <t xml:space="preserve">Other / NA</t>
  </si>
  <si>
    <t xml:space="preserve">Total</t>
  </si>
  <si>
    <t xml:space="preserve">EV %</t>
  </si>
  <si>
    <t xml:space="preserve">Hybrid %</t>
  </si>
  <si>
    <t xml:space="preserve">Petrol %</t>
  </si>
  <si>
    <t xml:space="preserve">Diesel %</t>
  </si>
  <si>
    <t xml:space="preserve">CNG %</t>
  </si>
  <si>
    <t xml:space="preserve">FY04-05</t>
  </si>
  <si>
    <t xml:space="preserve">FY05-06</t>
  </si>
  <si>
    <t xml:space="preserve">FY06-07</t>
  </si>
  <si>
    <t xml:space="preserve">FY07-08</t>
  </si>
  <si>
    <t xml:space="preserve">FY08-09</t>
  </si>
  <si>
    <t xml:space="preserve">FY09-10</t>
  </si>
  <si>
    <t xml:space="preserve">FY10-11</t>
  </si>
  <si>
    <t xml:space="preserve">FY11-12</t>
  </si>
  <si>
    <t xml:space="preserve">FY12-13</t>
  </si>
  <si>
    <t xml:space="preserve">FY13-14</t>
  </si>
  <si>
    <t xml:space="preserve">FY14-15</t>
  </si>
  <si>
    <t xml:space="preserve">FY15-16</t>
  </si>
  <si>
    <t xml:space="preserve">FY16-17</t>
  </si>
  <si>
    <t xml:space="preserve">FY17-18</t>
  </si>
  <si>
    <t xml:space="preserve">FY18-19</t>
  </si>
  <si>
    <t xml:space="preserve">FY19-20</t>
  </si>
  <si>
    <t xml:space="preserve">FY20-21</t>
  </si>
  <si>
    <t xml:space="preserve">FY21-22</t>
  </si>
  <si>
    <t xml:space="preserve">FY22-23</t>
  </si>
  <si>
    <t xml:space="preserve">FY23-24</t>
  </si>
  <si>
    <t xml:space="preserve">FY24-25</t>
  </si>
  <si>
    <t xml:space="preserve">Total FY05–FY25</t>
  </si>
  <si>
    <t xml:space="preserve">Motor Cab (taxi)</t>
  </si>
  <si>
    <t xml:space="preserve">Motor Car + Motor Cab</t>
  </si>
  <si>
    <t xml:space="preserve">Fuel group →</t>
  </si>
  <si>
    <t xml:space="preserve">Vehicle Class</t>
  </si>
  <si>
    <t xml:space="preserve">BIO-CNG/BIO-GAS</t>
  </si>
  <si>
    <t xml:space="preserve">BIO-DIESEL(B100)</t>
  </si>
  <si>
    <t xml:space="preserve">BIO-METHANE</t>
  </si>
  <si>
    <t xml:space="preserve">CNG ONLY</t>
  </si>
  <si>
    <t xml:space="preserve">DIESEL</t>
  </si>
  <si>
    <t xml:space="preserve">DIESEL/HYBRID</t>
  </si>
  <si>
    <t xml:space="preserve">DI-METHYL ETHER</t>
  </si>
  <si>
    <t xml:space="preserve">DUAL DIESEL/BIO CNG</t>
  </si>
  <si>
    <t xml:space="preserve">DUAL DIESEL/CNG</t>
  </si>
  <si>
    <t xml:space="preserve">DUAL DIESEL/LNG</t>
  </si>
  <si>
    <t xml:space="preserve">ELECTRIC(BOV)</t>
  </si>
  <si>
    <t xml:space="preserve">ETHANOL(E100)</t>
  </si>
  <si>
    <t xml:space="preserve">FLEX-FUEL(BIO-DIESEL)</t>
  </si>
  <si>
    <t xml:space="preserve">FLEX-FUEL(ETHANOL)</t>
  </si>
  <si>
    <t xml:space="preserve">FUEL CELL HYDROGEN</t>
  </si>
  <si>
    <t xml:space="preserve">HCNG</t>
  </si>
  <si>
    <t xml:space="preserve">HYDROGEN(ICE)</t>
  </si>
  <si>
    <t xml:space="preserve">LNG</t>
  </si>
  <si>
    <t xml:space="preserve">LPG ONLY</t>
  </si>
  <si>
    <t xml:space="preserve">METHANOL</t>
  </si>
  <si>
    <t xml:space="preserve">NOT APPLICABLE</t>
  </si>
  <si>
    <t xml:space="preserve">PETROL</t>
  </si>
  <si>
    <t xml:space="preserve">PETROL/CNG</t>
  </si>
  <si>
    <t xml:space="preserve">PETROL(E20)</t>
  </si>
  <si>
    <t xml:space="preserve">PETROL(E20)/CNG</t>
  </si>
  <si>
    <t xml:space="preserve">PETROL(E20)/HYBRID</t>
  </si>
  <si>
    <t xml:space="preserve">PETROL(E20)/HYBRID/CNG</t>
  </si>
  <si>
    <t xml:space="preserve">PETROL(E20)/LPG</t>
  </si>
  <si>
    <t xml:space="preserve">PETROL/HYBRID</t>
  </si>
  <si>
    <t xml:space="preserve">PETROL/HYBRID/CNG</t>
  </si>
  <si>
    <t xml:space="preserve">PETROL/LPG</t>
  </si>
  <si>
    <t xml:space="preserve">PETROL/METHANOL</t>
  </si>
  <si>
    <t xml:space="preserve">PLUG-IN HYBRID EV</t>
  </si>
  <si>
    <t xml:space="preserve">PURE EV</t>
  </si>
  <si>
    <t xml:space="preserve">SOLAR</t>
  </si>
  <si>
    <t xml:space="preserve">STRONG HYBRID EV</t>
  </si>
  <si>
    <t xml:space="preserve">Vahan TOTAL</t>
  </si>
  <si>
    <t xml:space="preserve">Check (sum − total)</t>
  </si>
  <si>
    <t xml:space="preserve">Motor Car</t>
  </si>
  <si>
    <t xml:space="preserve">Motor Cab</t>
  </si>
  <si>
    <t xml:space="preserve">Source: VAHAN Dashboard (vahan.parivahan.gov.in), Y-axis Vehicle Class × X-axis Fuel, Financial Year, All States, All RTOs, Actual values. Scraped 29-Oct-2026 using the logic of github.com/RevTpark/vahan-scraper (api.py).</t>
  </si>
  <si>
    <t xml:space="preserve">Fuel group</t>
  </si>
  <si>
    <t xml:space="preserve">Vahan fuel types included</t>
  </si>
  <si>
    <t xml:space="preserve">ELECTRIC(BOV), PURE EV, FUEL CELL HYDROGEN, SOLAR</t>
  </si>
  <si>
    <t xml:space="preserve">DIESEL/HYBRID, PETROL/HYBRID, PETROL/HYBRID/CNG, PETROL(E20)/HYBRID, PETROL(E20)/HYBRID/CNG, STRONG HYBRID EV, PLUG-IN HYBRID EV</t>
  </si>
  <si>
    <t xml:space="preserve">PETROL, PETROL(E20), ETHANOL(E100), FLEX-FUEL(ETHANOL), PETROL/METHANOL, METHANOL</t>
  </si>
  <si>
    <t xml:space="preserve">DIESEL, BIO-DIESEL(B100), FLEX-FUEL(BIO-DIESEL), DI-METHYL ETHER</t>
  </si>
  <si>
    <t xml:space="preserve">CNG ONLY, PETROL/CNG, PETROL(E20)/CNG, BIO-CNG/BIO-GAS, BIO-METHANE, HCNG, DUAL DIESEL/CNG, DUAL DIESEL/BIO CNG, DUAL DIESEL/LNG, LNG</t>
  </si>
  <si>
    <t xml:space="preserve">LPG ONLY, PETROL/LPG, PETROL(E20)/LPG</t>
  </si>
  <si>
    <t xml:space="preserve">NOT APPLICABLE, HYDROGEN(ICE)</t>
  </si>
  <si>
    <t xml:space="preserve">Notes:</t>
  </si>
  <si>
    <t xml:space="preserve">• EV = battery-electric (ELECTRIC(BOV) older label + PURE EV newer label), plus tiny counts of fuel-cell hydrogen and solar.</t>
  </si>
  <si>
    <t xml:space="preserve">• Hybrid = all hybrid labels incl. strong hybrid and plug-in hybrid. Mild hybrids are mostly registered as PETROL/DIESEL on Vahan.</t>
  </si>
  <si>
    <t xml:space="preserve">• Petrol includes E20 and ethanol/flex-fuel; Diesel includes bio-diesel. CNG and LPG kept separate (incl. bi-fuel PETROL/CNG).</t>
  </si>
  <si>
    <t xml:space="preserve">• Vahan counts by registration date. Pre-~2015 years are under-reported because many RTOs (and Telangana until recently, plus parts of MP/Lakshadweep) were not on Vahan 4; treat early years as partial, not national totals.</t>
  </si>
  <si>
    <t xml:space="preserve">• Edit the group labels in row 1 of Raw_Fuel_Detail to re-map a fuel type; all summaries update.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</si>
</sst>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-0.0%;\-"/>
    <numFmt numFmtId="167" formatCode="#,##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3A9CE"/>
      <rgbColor rgb="FFAB4744"/>
      <rgbColor rgb="FFF2F2F2"/>
      <rgbColor rgb="FFDDEBF7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Car (private) – fuel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Motor_Car!B4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Motor_Car!$B$5:$B$25</c:f>
              <c:numCache>
                <c:formatCode>#,##0;\(#,##0\);\-</c:formatCode>
                <c:ptCount val="21"/>
                <c:pt idx="0">
                  <c:v>203</c:v>
                </c:pt>
                <c:pt idx="1">
                  <c:v>180</c:v>
                </c:pt>
                <c:pt idx="2">
                  <c:v>243</c:v>
                </c:pt>
                <c:pt idx="3">
                  <c:v>336</c:v>
                </c:pt>
                <c:pt idx="4">
                  <c:v>490</c:v>
                </c:pt>
                <c:pt idx="5">
                  <c:v>267</c:v>
                </c:pt>
                <c:pt idx="6">
                  <c:v>371</c:v>
                </c:pt>
                <c:pt idx="7">
                  <c:v>676</c:v>
                </c:pt>
                <c:pt idx="8">
                  <c:v>208</c:v>
                </c:pt>
                <c:pt idx="9">
                  <c:v>424</c:v>
                </c:pt>
                <c:pt idx="10">
                  <c:v>574</c:v>
                </c:pt>
                <c:pt idx="11">
                  <c:v>689</c:v>
                </c:pt>
                <c:pt idx="12">
                  <c:v>637</c:v>
                </c:pt>
                <c:pt idx="13">
                  <c:v>916</c:v>
                </c:pt>
                <c:pt idx="14">
                  <c:v>1286</c:v>
                </c:pt>
                <c:pt idx="15">
                  <c:v>1219</c:v>
                </c:pt>
                <c:pt idx="16">
                  <c:v>5128</c:v>
                </c:pt>
                <c:pt idx="17">
                  <c:v>18857</c:v>
                </c:pt>
                <c:pt idx="18">
                  <c:v>43794</c:v>
                </c:pt>
                <c:pt idx="19">
                  <c:v>86346</c:v>
                </c:pt>
                <c:pt idx="20">
                  <c:v>107497</c:v>
                </c:pt>
              </c:numCache>
            </c:numRef>
          </c:val>
        </c:ser>
        <c:ser>
          <c:idx val="1"/>
          <c:order val="1"/>
          <c:tx>
            <c:strRef>
              <c:f>Motor_Car!C4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Motor_Car!$C$5:$C$25</c:f>
              <c:numCache>
                <c:formatCode>#,##0;\(#,##0\);\-</c:formatCode>
                <c:ptCount val="21"/>
                <c:pt idx="0">
                  <c:v>23</c:v>
                </c:pt>
                <c:pt idx="1">
                  <c:v>19</c:v>
                </c:pt>
                <c:pt idx="2">
                  <c:v>24</c:v>
                </c:pt>
                <c:pt idx="3">
                  <c:v>20</c:v>
                </c:pt>
                <c:pt idx="4">
                  <c:v>22</c:v>
                </c:pt>
                <c:pt idx="5">
                  <c:v>37</c:v>
                </c:pt>
                <c:pt idx="6">
                  <c:v>26</c:v>
                </c:pt>
                <c:pt idx="7">
                  <c:v>21</c:v>
                </c:pt>
                <c:pt idx="8">
                  <c:v>38</c:v>
                </c:pt>
                <c:pt idx="9">
                  <c:v>23</c:v>
                </c:pt>
                <c:pt idx="10">
                  <c:v>21</c:v>
                </c:pt>
                <c:pt idx="11">
                  <c:v>1904</c:v>
                </c:pt>
                <c:pt idx="12">
                  <c:v>19182</c:v>
                </c:pt>
                <c:pt idx="13">
                  <c:v>54031</c:v>
                </c:pt>
                <c:pt idx="14">
                  <c:v>92572</c:v>
                </c:pt>
                <c:pt idx="15">
                  <c:v>97692</c:v>
                </c:pt>
                <c:pt idx="16">
                  <c:v>107391</c:v>
                </c:pt>
                <c:pt idx="17">
                  <c:v>121554</c:v>
                </c:pt>
                <c:pt idx="18">
                  <c:v>261315</c:v>
                </c:pt>
                <c:pt idx="19">
                  <c:v>313805</c:v>
                </c:pt>
                <c:pt idx="20">
                  <c:v>348989</c:v>
                </c:pt>
              </c:numCache>
            </c:numRef>
          </c:val>
        </c:ser>
        <c:ser>
          <c:idx val="2"/>
          <c:order val="2"/>
          <c:tx>
            <c:strRef>
              <c:f>Motor_Car!D4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Motor_Car!$D$5:$D$25</c:f>
              <c:numCache>
                <c:formatCode>#,##0;\(#,##0\);\-</c:formatCode>
                <c:ptCount val="21"/>
                <c:pt idx="0">
                  <c:v>543547</c:v>
                </c:pt>
                <c:pt idx="1">
                  <c:v>606600</c:v>
                </c:pt>
                <c:pt idx="2">
                  <c:v>711428</c:v>
                </c:pt>
                <c:pt idx="3">
                  <c:v>781588</c:v>
                </c:pt>
                <c:pt idx="4">
                  <c:v>787685</c:v>
                </c:pt>
                <c:pt idx="5">
                  <c:v>977493</c:v>
                </c:pt>
                <c:pt idx="6">
                  <c:v>1198165</c:v>
                </c:pt>
                <c:pt idx="7">
                  <c:v>1111992</c:v>
                </c:pt>
                <c:pt idx="8">
                  <c:v>935337</c:v>
                </c:pt>
                <c:pt idx="9">
                  <c:v>959118</c:v>
                </c:pt>
                <c:pt idx="10">
                  <c:v>1125373</c:v>
                </c:pt>
                <c:pt idx="11">
                  <c:v>1291125</c:v>
                </c:pt>
                <c:pt idx="12">
                  <c:v>1470960</c:v>
                </c:pt>
                <c:pt idx="13">
                  <c:v>1686503</c:v>
                </c:pt>
                <c:pt idx="14">
                  <c:v>1709337</c:v>
                </c:pt>
                <c:pt idx="15">
                  <c:v>1694372</c:v>
                </c:pt>
                <c:pt idx="16">
                  <c:v>1868358</c:v>
                </c:pt>
                <c:pt idx="17">
                  <c:v>2034500</c:v>
                </c:pt>
                <c:pt idx="18">
                  <c:v>2266252</c:v>
                </c:pt>
                <c:pt idx="19">
                  <c:v>2249545</c:v>
                </c:pt>
                <c:pt idx="20">
                  <c:v>2141947</c:v>
                </c:pt>
              </c:numCache>
            </c:numRef>
          </c:val>
        </c:ser>
        <c:ser>
          <c:idx val="3"/>
          <c:order val="3"/>
          <c:tx>
            <c:strRef>
              <c:f>Motor_Car!E4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Motor_Car!$E$5:$E$25</c:f>
              <c:numCache>
                <c:formatCode>#,##0;\(#,##0\);\-</c:formatCode>
                <c:ptCount val="21"/>
                <c:pt idx="0">
                  <c:v>247776</c:v>
                </c:pt>
                <c:pt idx="1">
                  <c:v>279128</c:v>
                </c:pt>
                <c:pt idx="2">
                  <c:v>332590</c:v>
                </c:pt>
                <c:pt idx="3">
                  <c:v>417877</c:v>
                </c:pt>
                <c:pt idx="4">
                  <c:v>485194</c:v>
                </c:pt>
                <c:pt idx="5">
                  <c:v>608490</c:v>
                </c:pt>
                <c:pt idx="6">
                  <c:v>768682</c:v>
                </c:pt>
                <c:pt idx="7">
                  <c:v>1049355</c:v>
                </c:pt>
                <c:pt idx="8">
                  <c:v>1310734</c:v>
                </c:pt>
                <c:pt idx="9">
                  <c:v>1211564</c:v>
                </c:pt>
                <c:pt idx="10">
                  <c:v>1178102</c:v>
                </c:pt>
                <c:pt idx="11">
                  <c:v>1113663</c:v>
                </c:pt>
                <c:pt idx="12">
                  <c:v>1088806</c:v>
                </c:pt>
                <c:pt idx="13">
                  <c:v>1144665</c:v>
                </c:pt>
                <c:pt idx="14">
                  <c:v>1056301</c:v>
                </c:pt>
                <c:pt idx="15">
                  <c:v>908838</c:v>
                </c:pt>
                <c:pt idx="16">
                  <c:v>435103</c:v>
                </c:pt>
                <c:pt idx="17">
                  <c:v>557901</c:v>
                </c:pt>
                <c:pt idx="18">
                  <c:v>689943</c:v>
                </c:pt>
                <c:pt idx="19">
                  <c:v>684284</c:v>
                </c:pt>
                <c:pt idx="20">
                  <c:v>736112</c:v>
                </c:pt>
              </c:numCache>
            </c:numRef>
          </c:val>
        </c:ser>
        <c:ser>
          <c:idx val="4"/>
          <c:order val="4"/>
          <c:tx>
            <c:strRef>
              <c:f>Motor_Car!F4</c:f>
              <c:strCache>
                <c:ptCount val="1"/>
                <c:pt idx="0">
                  <c:v>CNG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Motor_Car!$F$5:$F$25</c:f>
              <c:numCache>
                <c:formatCode>#,##0;\(#,##0\);\-</c:formatCode>
                <c:ptCount val="21"/>
                <c:pt idx="0">
                  <c:v>54883</c:v>
                </c:pt>
                <c:pt idx="1">
                  <c:v>70494</c:v>
                </c:pt>
                <c:pt idx="2">
                  <c:v>87186</c:v>
                </c:pt>
                <c:pt idx="3">
                  <c:v>103114</c:v>
                </c:pt>
                <c:pt idx="4">
                  <c:v>101337</c:v>
                </c:pt>
                <c:pt idx="5">
                  <c:v>123252</c:v>
                </c:pt>
                <c:pt idx="6">
                  <c:v>168766</c:v>
                </c:pt>
                <c:pt idx="7">
                  <c:v>182917</c:v>
                </c:pt>
                <c:pt idx="8">
                  <c:v>150385</c:v>
                </c:pt>
                <c:pt idx="9">
                  <c:v>134424</c:v>
                </c:pt>
                <c:pt idx="10">
                  <c:v>161107</c:v>
                </c:pt>
                <c:pt idx="11">
                  <c:v>171639</c:v>
                </c:pt>
                <c:pt idx="12">
                  <c:v>194377</c:v>
                </c:pt>
                <c:pt idx="13">
                  <c:v>199549</c:v>
                </c:pt>
                <c:pt idx="14">
                  <c:v>215939</c:v>
                </c:pt>
                <c:pt idx="15">
                  <c:v>205254</c:v>
                </c:pt>
                <c:pt idx="16">
                  <c:v>214860</c:v>
                </c:pt>
                <c:pt idx="17">
                  <c:v>276925</c:v>
                </c:pt>
                <c:pt idx="18">
                  <c:v>369033</c:v>
                </c:pt>
                <c:pt idx="19">
                  <c:v>476879</c:v>
                </c:pt>
                <c:pt idx="20">
                  <c:v>627297</c:v>
                </c:pt>
              </c:numCache>
            </c:numRef>
          </c:val>
        </c:ser>
        <c:ser>
          <c:idx val="5"/>
          <c:order val="5"/>
          <c:tx>
            <c:strRef>
              <c:f>Motor_Car!G4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Motor_Car!$G$5:$G$25</c:f>
              <c:numCache>
                <c:formatCode>#,##0;\(#,##0\);\-</c:formatCode>
                <c:ptCount val="21"/>
                <c:pt idx="0">
                  <c:v>47858</c:v>
                </c:pt>
                <c:pt idx="1">
                  <c:v>49220</c:v>
                </c:pt>
                <c:pt idx="2">
                  <c:v>71485</c:v>
                </c:pt>
                <c:pt idx="3">
                  <c:v>83047</c:v>
                </c:pt>
                <c:pt idx="4">
                  <c:v>81774</c:v>
                </c:pt>
                <c:pt idx="5">
                  <c:v>94603</c:v>
                </c:pt>
                <c:pt idx="6">
                  <c:v>82160</c:v>
                </c:pt>
                <c:pt idx="7">
                  <c:v>84023</c:v>
                </c:pt>
                <c:pt idx="8">
                  <c:v>63975</c:v>
                </c:pt>
                <c:pt idx="9">
                  <c:v>37023</c:v>
                </c:pt>
                <c:pt idx="10">
                  <c:v>38973</c:v>
                </c:pt>
                <c:pt idx="11">
                  <c:v>29029</c:v>
                </c:pt>
                <c:pt idx="12">
                  <c:v>28019</c:v>
                </c:pt>
                <c:pt idx="13">
                  <c:v>23839</c:v>
                </c:pt>
                <c:pt idx="14">
                  <c:v>21781</c:v>
                </c:pt>
                <c:pt idx="15">
                  <c:v>16643</c:v>
                </c:pt>
                <c:pt idx="16">
                  <c:v>12132</c:v>
                </c:pt>
                <c:pt idx="17">
                  <c:v>9812</c:v>
                </c:pt>
                <c:pt idx="18">
                  <c:v>8735</c:v>
                </c:pt>
                <c:pt idx="19">
                  <c:v>6370</c:v>
                </c:pt>
                <c:pt idx="20">
                  <c:v>9612</c:v>
                </c:pt>
              </c:numCache>
            </c:numRef>
          </c:val>
        </c:ser>
        <c:ser>
          <c:idx val="6"/>
          <c:order val="6"/>
          <c:tx>
            <c:strRef>
              <c:f>Motor_Car!H4</c:f>
              <c:strCache>
                <c:ptCount val="1"/>
                <c:pt idx="0">
                  <c:v>Other / NA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Motor_Car!$H$5:$H$25</c:f>
              <c:numCache>
                <c:formatCode>#,##0;\(#,##0\);\-</c:formatCode>
                <c:ptCount val="21"/>
                <c:pt idx="0">
                  <c:v>1890</c:v>
                </c:pt>
                <c:pt idx="1">
                  <c:v>1938</c:v>
                </c:pt>
                <c:pt idx="2">
                  <c:v>3201</c:v>
                </c:pt>
                <c:pt idx="3">
                  <c:v>2830</c:v>
                </c:pt>
                <c:pt idx="4">
                  <c:v>2376</c:v>
                </c:pt>
                <c:pt idx="5">
                  <c:v>2471</c:v>
                </c:pt>
                <c:pt idx="6">
                  <c:v>2654</c:v>
                </c:pt>
                <c:pt idx="7">
                  <c:v>2710</c:v>
                </c:pt>
                <c:pt idx="8">
                  <c:v>2430</c:v>
                </c:pt>
                <c:pt idx="9">
                  <c:v>1829</c:v>
                </c:pt>
                <c:pt idx="10">
                  <c:v>1294</c:v>
                </c:pt>
                <c:pt idx="11">
                  <c:v>2998</c:v>
                </c:pt>
                <c:pt idx="12">
                  <c:v>3773</c:v>
                </c:pt>
                <c:pt idx="13">
                  <c:v>6567</c:v>
                </c:pt>
                <c:pt idx="14">
                  <c:v>8104</c:v>
                </c:pt>
                <c:pt idx="15">
                  <c:v>3605</c:v>
                </c:pt>
                <c:pt idx="16">
                  <c:v>144</c:v>
                </c:pt>
                <c:pt idx="17">
                  <c:v>288</c:v>
                </c:pt>
                <c:pt idx="18">
                  <c:v>97</c:v>
                </c:pt>
                <c:pt idx="19">
                  <c:v>300</c:v>
                </c:pt>
                <c:pt idx="20">
                  <c:v>221</c:v>
                </c:pt>
              </c:numCache>
            </c:numRef>
          </c:val>
        </c:ser>
        <c:gapWidth val="150"/>
        <c:overlap val="100"/>
        <c:axId val="84682458"/>
        <c:axId val="91225146"/>
      </c:barChart>
      <c:catAx>
        <c:axId val="846824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25146"/>
        <c:crosses val="autoZero"/>
        <c:auto val="1"/>
        <c:lblAlgn val="ctr"/>
        <c:lblOffset val="100"/>
        <c:noMultiLvlLbl val="0"/>
      </c:catAx>
      <c:valAx>
        <c:axId val="91225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Registrations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824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Car (private) – EV &amp; Hybrid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Motor_Car!J4</c:f>
              <c:strCache>
                <c:ptCount val="1"/>
                <c:pt idx="0">
                  <c:v>EV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Motor_Car!$J$5:$J$25</c:f>
              <c:numCache>
                <c:formatCode>0.0%;\-0.0%;\-</c:formatCode>
                <c:ptCount val="21"/>
                <c:pt idx="0">
                  <c:v>0.000226516994353813</c:v>
                </c:pt>
                <c:pt idx="1">
                  <c:v>0.000178646041650332</c:v>
                </c:pt>
                <c:pt idx="2">
                  <c:v>0.000201466309941409</c:v>
                </c:pt>
                <c:pt idx="3">
                  <c:v>0.00024193339343266</c:v>
                </c:pt>
                <c:pt idx="4">
                  <c:v>0.000335874555651672</c:v>
                </c:pt>
                <c:pt idx="5">
                  <c:v>0.000147790367942664</c:v>
                </c:pt>
                <c:pt idx="6">
                  <c:v>0.000167055111075889</c:v>
                </c:pt>
                <c:pt idx="7">
                  <c:v>0.00027799550436856</c:v>
                </c:pt>
                <c:pt idx="8">
                  <c:v>8.44461893048089E-005</c:v>
                </c:pt>
                <c:pt idx="9">
                  <c:v>0.000180856123408711</c:v>
                </c:pt>
                <c:pt idx="10">
                  <c:v>0.000229101109424118</c:v>
                </c:pt>
                <c:pt idx="11">
                  <c:v>0.000263878819492717</c:v>
                </c:pt>
                <c:pt idx="12">
                  <c:v>0.000227033446267919</c:v>
                </c:pt>
                <c:pt idx="13">
                  <c:v>0.000293960020153591</c:v>
                </c:pt>
                <c:pt idx="14">
                  <c:v>0.000414128012571973</c:v>
                </c:pt>
                <c:pt idx="15">
                  <c:v>0.000416378748219972</c:v>
                </c:pt>
                <c:pt idx="16">
                  <c:v>0.00194013429603544</c:v>
                </c:pt>
                <c:pt idx="17">
                  <c:v>0.00624437676603075</c:v>
                </c:pt>
                <c:pt idx="18">
                  <c:v>0.0120340660189181</c:v>
                </c:pt>
                <c:pt idx="19">
                  <c:v>0.0226182957614729</c:v>
                </c:pt>
                <c:pt idx="20">
                  <c:v>0.0270659104785764</c:v>
                </c:pt>
              </c:numCache>
            </c:numRef>
          </c:val>
        </c:ser>
        <c:ser>
          <c:idx val="1"/>
          <c:order val="1"/>
          <c:tx>
            <c:strRef>
              <c:f>Motor_Car!K4</c:f>
              <c:strCache>
                <c:ptCount val="1"/>
                <c:pt idx="0">
                  <c:v>Hybrid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Motor_Car!$A$5:$A$25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Motor_Car!$K$5:$K$25</c:f>
              <c:numCache>
                <c:formatCode>0.0%;\-0.0%;\-</c:formatCode>
                <c:ptCount val="21"/>
                <c:pt idx="0">
                  <c:v>2.56644870450133E-005</c:v>
                </c:pt>
                <c:pt idx="1">
                  <c:v>1.88570821742017E-005</c:v>
                </c:pt>
                <c:pt idx="2">
                  <c:v>1.98979071547071E-005</c:v>
                </c:pt>
                <c:pt idx="3">
                  <c:v>1.44007972281346E-005</c:v>
                </c:pt>
                <c:pt idx="4">
                  <c:v>1.50800820904832E-005</c:v>
                </c:pt>
                <c:pt idx="5">
                  <c:v>2.04803131605939E-005</c:v>
                </c:pt>
                <c:pt idx="6">
                  <c:v>1.17073662748601E-005</c:v>
                </c:pt>
                <c:pt idx="7">
                  <c:v>8.6359550173665E-006</c:v>
                </c:pt>
                <c:pt idx="8">
                  <c:v>1.5427669199917E-005</c:v>
                </c:pt>
                <c:pt idx="9">
                  <c:v>9.81059160000085E-006</c:v>
                </c:pt>
                <c:pt idx="10">
                  <c:v>8.38174790576042E-006</c:v>
                </c:pt>
                <c:pt idx="11">
                  <c:v>0.000729209393779584</c:v>
                </c:pt>
                <c:pt idx="12">
                  <c:v>0.0068366649392641</c:v>
                </c:pt>
                <c:pt idx="13">
                  <c:v>0.0173394692673785</c:v>
                </c:pt>
                <c:pt idx="14">
                  <c:v>0.029810776345111</c:v>
                </c:pt>
                <c:pt idx="15">
                  <c:v>0.033369050591555</c:v>
                </c:pt>
                <c:pt idx="16">
                  <c:v>0.0406304528442944</c:v>
                </c:pt>
                <c:pt idx="17">
                  <c:v>0.0402518414073342</c:v>
                </c:pt>
                <c:pt idx="18">
                  <c:v>0.0718062282900299</c:v>
                </c:pt>
                <c:pt idx="19">
                  <c:v>0.0822010782367338</c:v>
                </c:pt>
                <c:pt idx="20">
                  <c:v>0.0878694757249775</c:v>
                </c:pt>
              </c:numCache>
            </c:numRef>
          </c:val>
        </c:ser>
        <c:gapWidth val="150"/>
        <c:overlap val="0"/>
        <c:axId val="6299844"/>
        <c:axId val="62517097"/>
      </c:barChart>
      <c:catAx>
        <c:axId val="6299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17097"/>
        <c:crosses val="autoZero"/>
        <c:auto val="1"/>
        <c:lblAlgn val="ctr"/>
        <c:lblOffset val="100"/>
        <c:noMultiLvlLbl val="0"/>
      </c:catAx>
      <c:valAx>
        <c:axId val="62517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registrations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98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Cab (taxi) – fuel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Motor_Cab!B4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Motor_Cab!$B$5:$B$25</c:f>
              <c:numCache>
                <c:formatCode>#,##0;\(#,##0\);\-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16</c:v>
                </c:pt>
                <c:pt idx="7">
                  <c:v>9</c:v>
                </c:pt>
                <c:pt idx="8">
                  <c:v>8</c:v>
                </c:pt>
                <c:pt idx="9">
                  <c:v>23</c:v>
                </c:pt>
                <c:pt idx="10">
                  <c:v>6</c:v>
                </c:pt>
                <c:pt idx="11">
                  <c:v>115</c:v>
                </c:pt>
                <c:pt idx="12">
                  <c:v>141</c:v>
                </c:pt>
                <c:pt idx="13">
                  <c:v>272</c:v>
                </c:pt>
                <c:pt idx="14">
                  <c:v>619</c:v>
                </c:pt>
                <c:pt idx="15">
                  <c:v>1516</c:v>
                </c:pt>
                <c:pt idx="16">
                  <c:v>333</c:v>
                </c:pt>
                <c:pt idx="17">
                  <c:v>919</c:v>
                </c:pt>
                <c:pt idx="18">
                  <c:v>7296</c:v>
                </c:pt>
                <c:pt idx="19">
                  <c:v>11673</c:v>
                </c:pt>
                <c:pt idx="20">
                  <c:v>8426</c:v>
                </c:pt>
              </c:numCache>
            </c:numRef>
          </c:val>
        </c:ser>
        <c:ser>
          <c:idx val="1"/>
          <c:order val="1"/>
          <c:tx>
            <c:strRef>
              <c:f>Motor_Cab!C4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Motor_Cab!$C$5:$C$25</c:f>
              <c:numCache>
                <c:formatCode>#,##0;\(#,##0\);\-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71</c:v>
                </c:pt>
                <c:pt idx="12">
                  <c:v>755</c:v>
                </c:pt>
                <c:pt idx="13">
                  <c:v>959</c:v>
                </c:pt>
                <c:pt idx="14">
                  <c:v>1611</c:v>
                </c:pt>
                <c:pt idx="15">
                  <c:v>1088</c:v>
                </c:pt>
                <c:pt idx="16">
                  <c:v>661</c:v>
                </c:pt>
                <c:pt idx="17">
                  <c:v>1232</c:v>
                </c:pt>
                <c:pt idx="18">
                  <c:v>3717</c:v>
                </c:pt>
                <c:pt idx="19">
                  <c:v>8552</c:v>
                </c:pt>
                <c:pt idx="20">
                  <c:v>12685</c:v>
                </c:pt>
              </c:numCache>
            </c:numRef>
          </c:val>
        </c:ser>
        <c:ser>
          <c:idx val="2"/>
          <c:order val="2"/>
          <c:tx>
            <c:strRef>
              <c:f>Motor_Cab!D4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Motor_Cab!$D$5:$D$25</c:f>
              <c:numCache>
                <c:formatCode>#,##0;\(#,##0\);\-</c:formatCode>
                <c:ptCount val="21"/>
                <c:pt idx="0">
                  <c:v>4913</c:v>
                </c:pt>
                <c:pt idx="1">
                  <c:v>4619</c:v>
                </c:pt>
                <c:pt idx="2">
                  <c:v>5305</c:v>
                </c:pt>
                <c:pt idx="3">
                  <c:v>5120</c:v>
                </c:pt>
                <c:pt idx="4">
                  <c:v>3539</c:v>
                </c:pt>
                <c:pt idx="5">
                  <c:v>4224</c:v>
                </c:pt>
                <c:pt idx="6">
                  <c:v>6485</c:v>
                </c:pt>
                <c:pt idx="7">
                  <c:v>6215</c:v>
                </c:pt>
                <c:pt idx="8">
                  <c:v>5577</c:v>
                </c:pt>
                <c:pt idx="9">
                  <c:v>6173</c:v>
                </c:pt>
                <c:pt idx="10">
                  <c:v>6593</c:v>
                </c:pt>
                <c:pt idx="11">
                  <c:v>8923</c:v>
                </c:pt>
                <c:pt idx="12">
                  <c:v>14025</c:v>
                </c:pt>
                <c:pt idx="13">
                  <c:v>13803</c:v>
                </c:pt>
                <c:pt idx="14">
                  <c:v>15248</c:v>
                </c:pt>
                <c:pt idx="15">
                  <c:v>18813</c:v>
                </c:pt>
                <c:pt idx="16">
                  <c:v>14246</c:v>
                </c:pt>
                <c:pt idx="17">
                  <c:v>17651</c:v>
                </c:pt>
                <c:pt idx="18">
                  <c:v>37933</c:v>
                </c:pt>
                <c:pt idx="19">
                  <c:v>60917</c:v>
                </c:pt>
                <c:pt idx="20">
                  <c:v>51088</c:v>
                </c:pt>
              </c:numCache>
            </c:numRef>
          </c:val>
        </c:ser>
        <c:ser>
          <c:idx val="3"/>
          <c:order val="3"/>
          <c:tx>
            <c:strRef>
              <c:f>Motor_Cab!E4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Motor_Cab!$E$5:$E$25</c:f>
              <c:numCache>
                <c:formatCode>#,##0;\(#,##0\);\-</c:formatCode>
                <c:ptCount val="21"/>
                <c:pt idx="0">
                  <c:v>24612</c:v>
                </c:pt>
                <c:pt idx="1">
                  <c:v>32540</c:v>
                </c:pt>
                <c:pt idx="2">
                  <c:v>42110</c:v>
                </c:pt>
                <c:pt idx="3">
                  <c:v>48922</c:v>
                </c:pt>
                <c:pt idx="4">
                  <c:v>49474</c:v>
                </c:pt>
                <c:pt idx="5">
                  <c:v>64400</c:v>
                </c:pt>
                <c:pt idx="6">
                  <c:v>79253</c:v>
                </c:pt>
                <c:pt idx="7">
                  <c:v>95611</c:v>
                </c:pt>
                <c:pt idx="8">
                  <c:v>116455</c:v>
                </c:pt>
                <c:pt idx="9">
                  <c:v>102413</c:v>
                </c:pt>
                <c:pt idx="10">
                  <c:v>85001</c:v>
                </c:pt>
                <c:pt idx="11">
                  <c:v>111742</c:v>
                </c:pt>
                <c:pt idx="12">
                  <c:v>120897</c:v>
                </c:pt>
                <c:pt idx="13">
                  <c:v>86830</c:v>
                </c:pt>
                <c:pt idx="14">
                  <c:v>91373</c:v>
                </c:pt>
                <c:pt idx="15">
                  <c:v>77819</c:v>
                </c:pt>
                <c:pt idx="16">
                  <c:v>9278</c:v>
                </c:pt>
                <c:pt idx="17">
                  <c:v>11882</c:v>
                </c:pt>
                <c:pt idx="18">
                  <c:v>22492</c:v>
                </c:pt>
                <c:pt idx="19">
                  <c:v>32871</c:v>
                </c:pt>
                <c:pt idx="20">
                  <c:v>31953</c:v>
                </c:pt>
              </c:numCache>
            </c:numRef>
          </c:val>
        </c:ser>
        <c:ser>
          <c:idx val="4"/>
          <c:order val="4"/>
          <c:tx>
            <c:strRef>
              <c:f>Motor_Cab!F4</c:f>
              <c:strCache>
                <c:ptCount val="1"/>
                <c:pt idx="0">
                  <c:v>CNG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Motor_Cab!$F$5:$F$25</c:f>
              <c:numCache>
                <c:formatCode>#,##0;\(#,##0\);\-</c:formatCode>
                <c:ptCount val="21"/>
                <c:pt idx="0">
                  <c:v>1094</c:v>
                </c:pt>
                <c:pt idx="1">
                  <c:v>507</c:v>
                </c:pt>
                <c:pt idx="2">
                  <c:v>1444</c:v>
                </c:pt>
                <c:pt idx="3">
                  <c:v>3159</c:v>
                </c:pt>
                <c:pt idx="4">
                  <c:v>3793</c:v>
                </c:pt>
                <c:pt idx="5">
                  <c:v>7329</c:v>
                </c:pt>
                <c:pt idx="6">
                  <c:v>17599</c:v>
                </c:pt>
                <c:pt idx="7">
                  <c:v>11392</c:v>
                </c:pt>
                <c:pt idx="8">
                  <c:v>7683</c:v>
                </c:pt>
                <c:pt idx="9">
                  <c:v>9329</c:v>
                </c:pt>
                <c:pt idx="10">
                  <c:v>9618</c:v>
                </c:pt>
                <c:pt idx="11">
                  <c:v>19920</c:v>
                </c:pt>
                <c:pt idx="12">
                  <c:v>46454</c:v>
                </c:pt>
                <c:pt idx="13">
                  <c:v>25696</c:v>
                </c:pt>
                <c:pt idx="14">
                  <c:v>42966</c:v>
                </c:pt>
                <c:pt idx="15">
                  <c:v>41003</c:v>
                </c:pt>
                <c:pt idx="16">
                  <c:v>12265</c:v>
                </c:pt>
                <c:pt idx="17">
                  <c:v>22275</c:v>
                </c:pt>
                <c:pt idx="18">
                  <c:v>77414</c:v>
                </c:pt>
                <c:pt idx="19">
                  <c:v>153072</c:v>
                </c:pt>
                <c:pt idx="20">
                  <c:v>200311</c:v>
                </c:pt>
              </c:numCache>
            </c:numRef>
          </c:val>
        </c:ser>
        <c:ser>
          <c:idx val="5"/>
          <c:order val="5"/>
          <c:tx>
            <c:strRef>
              <c:f>Motor_Cab!G4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Motor_Cab!$G$5:$G$25</c:f>
              <c:numCache>
                <c:formatCode>#,##0;\(#,##0\);\-</c:formatCode>
                <c:ptCount val="21"/>
                <c:pt idx="0">
                  <c:v>1084</c:v>
                </c:pt>
                <c:pt idx="1">
                  <c:v>1589</c:v>
                </c:pt>
                <c:pt idx="2">
                  <c:v>2428</c:v>
                </c:pt>
                <c:pt idx="3">
                  <c:v>2341</c:v>
                </c:pt>
                <c:pt idx="4">
                  <c:v>1383</c:v>
                </c:pt>
                <c:pt idx="5">
                  <c:v>1480</c:v>
                </c:pt>
                <c:pt idx="6">
                  <c:v>1562</c:v>
                </c:pt>
                <c:pt idx="7">
                  <c:v>1212</c:v>
                </c:pt>
                <c:pt idx="8">
                  <c:v>565</c:v>
                </c:pt>
                <c:pt idx="9">
                  <c:v>374</c:v>
                </c:pt>
                <c:pt idx="10">
                  <c:v>450</c:v>
                </c:pt>
                <c:pt idx="11">
                  <c:v>537</c:v>
                </c:pt>
                <c:pt idx="12">
                  <c:v>1306</c:v>
                </c:pt>
                <c:pt idx="13">
                  <c:v>1008</c:v>
                </c:pt>
                <c:pt idx="14">
                  <c:v>1025</c:v>
                </c:pt>
                <c:pt idx="15">
                  <c:v>773</c:v>
                </c:pt>
                <c:pt idx="16">
                  <c:v>357</c:v>
                </c:pt>
                <c:pt idx="17">
                  <c:v>339</c:v>
                </c:pt>
                <c:pt idx="18">
                  <c:v>381</c:v>
                </c:pt>
                <c:pt idx="19">
                  <c:v>235</c:v>
                </c:pt>
                <c:pt idx="20">
                  <c:v>374</c:v>
                </c:pt>
              </c:numCache>
            </c:numRef>
          </c:val>
        </c:ser>
        <c:ser>
          <c:idx val="6"/>
          <c:order val="6"/>
          <c:tx>
            <c:strRef>
              <c:f>Motor_Cab!H4</c:f>
              <c:strCache>
                <c:ptCount val="1"/>
                <c:pt idx="0">
                  <c:v>Other / NA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Motor_Cab!$H$5:$H$25</c:f>
              <c:numCache>
                <c:formatCode>#,##0;\(#,##0\);\-</c:formatCode>
                <c:ptCount val="21"/>
                <c:pt idx="0">
                  <c:v>216</c:v>
                </c:pt>
                <c:pt idx="1">
                  <c:v>225</c:v>
                </c:pt>
                <c:pt idx="2">
                  <c:v>324</c:v>
                </c:pt>
                <c:pt idx="3">
                  <c:v>322</c:v>
                </c:pt>
                <c:pt idx="4">
                  <c:v>368</c:v>
                </c:pt>
                <c:pt idx="5">
                  <c:v>311</c:v>
                </c:pt>
                <c:pt idx="6">
                  <c:v>79</c:v>
                </c:pt>
                <c:pt idx="7">
                  <c:v>84</c:v>
                </c:pt>
                <c:pt idx="8">
                  <c:v>91</c:v>
                </c:pt>
                <c:pt idx="9">
                  <c:v>91</c:v>
                </c:pt>
                <c:pt idx="10">
                  <c:v>82</c:v>
                </c:pt>
                <c:pt idx="11">
                  <c:v>196</c:v>
                </c:pt>
                <c:pt idx="12">
                  <c:v>502</c:v>
                </c:pt>
                <c:pt idx="13">
                  <c:v>234</c:v>
                </c:pt>
                <c:pt idx="14">
                  <c:v>234</c:v>
                </c:pt>
                <c:pt idx="15">
                  <c:v>47</c:v>
                </c:pt>
                <c:pt idx="16">
                  <c:v>27</c:v>
                </c:pt>
                <c:pt idx="17">
                  <c:v>152</c:v>
                </c:pt>
                <c:pt idx="18">
                  <c:v>98</c:v>
                </c:pt>
                <c:pt idx="19">
                  <c:v>69</c:v>
                </c:pt>
                <c:pt idx="20">
                  <c:v>98</c:v>
                </c:pt>
              </c:numCache>
            </c:numRef>
          </c:val>
        </c:ser>
        <c:gapWidth val="150"/>
        <c:overlap val="100"/>
        <c:axId val="32673970"/>
        <c:axId val="8437011"/>
      </c:barChart>
      <c:catAx>
        <c:axId val="32673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7011"/>
        <c:crosses val="autoZero"/>
        <c:auto val="1"/>
        <c:lblAlgn val="ctr"/>
        <c:lblOffset val="100"/>
        <c:noMultiLvlLbl val="0"/>
      </c:catAx>
      <c:valAx>
        <c:axId val="8437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Registrations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739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Cab (taxi) – EV &amp; Hybrid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Motor_Cab!J4</c:f>
              <c:strCache>
                <c:ptCount val="1"/>
                <c:pt idx="0">
                  <c:v>EV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Motor_Cab!$J$5:$J$25</c:f>
              <c:numCache>
                <c:formatCode>0.0%;\-0.0%;\-</c:formatCode>
                <c:ptCount val="21"/>
                <c:pt idx="0">
                  <c:v>3.1328320802005E-005</c:v>
                </c:pt>
                <c:pt idx="1">
                  <c:v>5.06559951370245E-005</c:v>
                </c:pt>
                <c:pt idx="2">
                  <c:v>5.81226387678001E-005</c:v>
                </c:pt>
                <c:pt idx="3">
                  <c:v>8.3515675892365E-005</c:v>
                </c:pt>
                <c:pt idx="4">
                  <c:v>6.83048445210977E-005</c:v>
                </c:pt>
                <c:pt idx="5">
                  <c:v>6.43086816720257E-005</c:v>
                </c:pt>
                <c:pt idx="6">
                  <c:v>0.000152388208962332</c:v>
                </c:pt>
                <c:pt idx="7">
                  <c:v>7.85861478816667E-005</c:v>
                </c:pt>
                <c:pt idx="8">
                  <c:v>6.13581629366017E-005</c:v>
                </c:pt>
                <c:pt idx="9">
                  <c:v>0.000194251834835266</c:v>
                </c:pt>
                <c:pt idx="10">
                  <c:v>5.89668999135152E-005</c:v>
                </c:pt>
                <c:pt idx="11">
                  <c:v>0.000812697874265038</c:v>
                </c:pt>
                <c:pt idx="12">
                  <c:v>0.000765971316818774</c:v>
                </c:pt>
                <c:pt idx="13">
                  <c:v>0.00211176845080045</c:v>
                </c:pt>
                <c:pt idx="14">
                  <c:v>0.00404374297734459</c:v>
                </c:pt>
                <c:pt idx="15">
                  <c:v>0.0107472759625405</c:v>
                </c:pt>
                <c:pt idx="16">
                  <c:v>0.0089595609007991</c:v>
                </c:pt>
                <c:pt idx="17">
                  <c:v>0.0168778696051423</c:v>
                </c:pt>
                <c:pt idx="18">
                  <c:v>0.0488579062619282</c:v>
                </c:pt>
                <c:pt idx="19">
                  <c:v>0.0436554981693338</c:v>
                </c:pt>
                <c:pt idx="20">
                  <c:v>0.0276321183202978</c:v>
                </c:pt>
              </c:numCache>
            </c:numRef>
          </c:val>
        </c:ser>
        <c:ser>
          <c:idx val="1"/>
          <c:order val="1"/>
          <c:tx>
            <c:strRef>
              <c:f>Motor_Cab!K4</c:f>
              <c:strCache>
                <c:ptCount val="1"/>
                <c:pt idx="0">
                  <c:v>Hybrid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Motor_Cab!$K$5:$K$25</c:f>
              <c:numCache>
                <c:formatCode>0.0%;\-0.0%;\-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1.93742129226E-005</c:v>
                </c:pt>
                <c:pt idx="3">
                  <c:v>0</c:v>
                </c:pt>
                <c:pt idx="4">
                  <c:v>0</c:v>
                </c:pt>
                <c:pt idx="5">
                  <c:v>1.28617363344051E-005</c:v>
                </c:pt>
                <c:pt idx="6">
                  <c:v>9.52426306014572E-006</c:v>
                </c:pt>
                <c:pt idx="7">
                  <c:v>8.73179420907408E-006</c:v>
                </c:pt>
                <c:pt idx="8">
                  <c:v>2.30093111012256E-005</c:v>
                </c:pt>
                <c:pt idx="9">
                  <c:v>0</c:v>
                </c:pt>
                <c:pt idx="10">
                  <c:v>1.96556333045051E-005</c:v>
                </c:pt>
                <c:pt idx="11">
                  <c:v>0.000501752600633198</c:v>
                </c:pt>
                <c:pt idx="12">
                  <c:v>0.00410147761842677</c:v>
                </c:pt>
                <c:pt idx="13">
                  <c:v>0.0074455365599913</c:v>
                </c:pt>
                <c:pt idx="14">
                  <c:v>0.0105241840654316</c:v>
                </c:pt>
                <c:pt idx="15">
                  <c:v>0.00771308459580743</c:v>
                </c:pt>
                <c:pt idx="16">
                  <c:v>0.0177845938601448</c:v>
                </c:pt>
                <c:pt idx="17">
                  <c:v>0.0226262626262626</c:v>
                </c:pt>
                <c:pt idx="18">
                  <c:v>0.0248910139220925</c:v>
                </c:pt>
                <c:pt idx="19">
                  <c:v>0.031983365059894</c:v>
                </c:pt>
                <c:pt idx="20">
                  <c:v>0.0415990293013265</c:v>
                </c:pt>
              </c:numCache>
            </c:numRef>
          </c:val>
        </c:ser>
        <c:gapWidth val="150"/>
        <c:overlap val="0"/>
        <c:axId val="82644396"/>
        <c:axId val="69577738"/>
      </c:barChart>
      <c:catAx>
        <c:axId val="826443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77738"/>
        <c:crosses val="autoZero"/>
        <c:auto val="1"/>
        <c:lblAlgn val="ctr"/>
        <c:lblOffset val="100"/>
        <c:noMultiLvlLbl val="0"/>
      </c:catAx>
      <c:valAx>
        <c:axId val="69577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registrations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443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Car + Motor Cab – fuel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Car_plus_Cab!B4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Car_plus_Cab!$B$5:$B$25</c:f>
              <c:numCache>
                <c:formatCode>#,##0;\(#,##0\);\-</c:formatCode>
                <c:ptCount val="21"/>
                <c:pt idx="0">
                  <c:v>204</c:v>
                </c:pt>
                <c:pt idx="1">
                  <c:v>182</c:v>
                </c:pt>
                <c:pt idx="2">
                  <c:v>246</c:v>
                </c:pt>
                <c:pt idx="3">
                  <c:v>341</c:v>
                </c:pt>
                <c:pt idx="4">
                  <c:v>494</c:v>
                </c:pt>
                <c:pt idx="5">
                  <c:v>272</c:v>
                </c:pt>
                <c:pt idx="6">
                  <c:v>387</c:v>
                </c:pt>
                <c:pt idx="7">
                  <c:v>685</c:v>
                </c:pt>
                <c:pt idx="8">
                  <c:v>216</c:v>
                </c:pt>
                <c:pt idx="9">
                  <c:v>447</c:v>
                </c:pt>
                <c:pt idx="10">
                  <c:v>580</c:v>
                </c:pt>
                <c:pt idx="11">
                  <c:v>804</c:v>
                </c:pt>
                <c:pt idx="12">
                  <c:v>778</c:v>
                </c:pt>
                <c:pt idx="13">
                  <c:v>1188</c:v>
                </c:pt>
                <c:pt idx="14">
                  <c:v>1905</c:v>
                </c:pt>
                <c:pt idx="15">
                  <c:v>2735</c:v>
                </c:pt>
                <c:pt idx="16">
                  <c:v>5461</c:v>
                </c:pt>
                <c:pt idx="17">
                  <c:v>19776</c:v>
                </c:pt>
                <c:pt idx="18">
                  <c:v>51090</c:v>
                </c:pt>
                <c:pt idx="19">
                  <c:v>98019</c:v>
                </c:pt>
                <c:pt idx="20">
                  <c:v>115923</c:v>
                </c:pt>
              </c:numCache>
            </c:numRef>
          </c:val>
        </c:ser>
        <c:ser>
          <c:idx val="1"/>
          <c:order val="1"/>
          <c:tx>
            <c:strRef>
              <c:f>Car_plus_Cab!C4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Car_plus_Cab!$C$5:$C$25</c:f>
              <c:numCache>
                <c:formatCode>#,##0;\(#,##0\);\-</c:formatCode>
                <c:ptCount val="21"/>
                <c:pt idx="0">
                  <c:v>23</c:v>
                </c:pt>
                <c:pt idx="1">
                  <c:v>19</c:v>
                </c:pt>
                <c:pt idx="2">
                  <c:v>25</c:v>
                </c:pt>
                <c:pt idx="3">
                  <c:v>20</c:v>
                </c:pt>
                <c:pt idx="4">
                  <c:v>22</c:v>
                </c:pt>
                <c:pt idx="5">
                  <c:v>38</c:v>
                </c:pt>
                <c:pt idx="6">
                  <c:v>27</c:v>
                </c:pt>
                <c:pt idx="7">
                  <c:v>22</c:v>
                </c:pt>
                <c:pt idx="8">
                  <c:v>41</c:v>
                </c:pt>
                <c:pt idx="9">
                  <c:v>23</c:v>
                </c:pt>
                <c:pt idx="10">
                  <c:v>23</c:v>
                </c:pt>
                <c:pt idx="11">
                  <c:v>1975</c:v>
                </c:pt>
                <c:pt idx="12">
                  <c:v>19937</c:v>
                </c:pt>
                <c:pt idx="13">
                  <c:v>54990</c:v>
                </c:pt>
                <c:pt idx="14">
                  <c:v>94183</c:v>
                </c:pt>
                <c:pt idx="15">
                  <c:v>98780</c:v>
                </c:pt>
                <c:pt idx="16">
                  <c:v>108052</c:v>
                </c:pt>
                <c:pt idx="17">
                  <c:v>122786</c:v>
                </c:pt>
                <c:pt idx="18">
                  <c:v>265032</c:v>
                </c:pt>
                <c:pt idx="19">
                  <c:v>322357</c:v>
                </c:pt>
                <c:pt idx="20">
                  <c:v>361674</c:v>
                </c:pt>
              </c:numCache>
            </c:numRef>
          </c:val>
        </c:ser>
        <c:ser>
          <c:idx val="2"/>
          <c:order val="2"/>
          <c:tx>
            <c:strRef>
              <c:f>Car_plus_Cab!D4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Car_plus_Cab!$D$5:$D$25</c:f>
              <c:numCache>
                <c:formatCode>#,##0;\(#,##0\);\-</c:formatCode>
                <c:ptCount val="21"/>
                <c:pt idx="0">
                  <c:v>548460</c:v>
                </c:pt>
                <c:pt idx="1">
                  <c:v>611219</c:v>
                </c:pt>
                <c:pt idx="2">
                  <c:v>716733</c:v>
                </c:pt>
                <c:pt idx="3">
                  <c:v>786708</c:v>
                </c:pt>
                <c:pt idx="4">
                  <c:v>791224</c:v>
                </c:pt>
                <c:pt idx="5">
                  <c:v>981717</c:v>
                </c:pt>
                <c:pt idx="6">
                  <c:v>1204650</c:v>
                </c:pt>
                <c:pt idx="7">
                  <c:v>1118207</c:v>
                </c:pt>
                <c:pt idx="8">
                  <c:v>940914</c:v>
                </c:pt>
                <c:pt idx="9">
                  <c:v>965291</c:v>
                </c:pt>
                <c:pt idx="10">
                  <c:v>1131966</c:v>
                </c:pt>
                <c:pt idx="11">
                  <c:v>1300048</c:v>
                </c:pt>
                <c:pt idx="12">
                  <c:v>1484985</c:v>
                </c:pt>
                <c:pt idx="13">
                  <c:v>1700306</c:v>
                </c:pt>
                <c:pt idx="14">
                  <c:v>1724585</c:v>
                </c:pt>
                <c:pt idx="15">
                  <c:v>1713185</c:v>
                </c:pt>
                <c:pt idx="16">
                  <c:v>1882604</c:v>
                </c:pt>
                <c:pt idx="17">
                  <c:v>2052151</c:v>
                </c:pt>
                <c:pt idx="18">
                  <c:v>2304185</c:v>
                </c:pt>
                <c:pt idx="19">
                  <c:v>2310462</c:v>
                </c:pt>
                <c:pt idx="20">
                  <c:v>2193035</c:v>
                </c:pt>
              </c:numCache>
            </c:numRef>
          </c:val>
        </c:ser>
        <c:ser>
          <c:idx val="3"/>
          <c:order val="3"/>
          <c:tx>
            <c:strRef>
              <c:f>Car_plus_Cab!E4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Car_plus_Cab!$E$5:$E$25</c:f>
              <c:numCache>
                <c:formatCode>#,##0;\(#,##0\);\-</c:formatCode>
                <c:ptCount val="21"/>
                <c:pt idx="0">
                  <c:v>272388</c:v>
                </c:pt>
                <c:pt idx="1">
                  <c:v>311668</c:v>
                </c:pt>
                <c:pt idx="2">
                  <c:v>374700</c:v>
                </c:pt>
                <c:pt idx="3">
                  <c:v>466799</c:v>
                </c:pt>
                <c:pt idx="4">
                  <c:v>534668</c:v>
                </c:pt>
                <c:pt idx="5">
                  <c:v>672890</c:v>
                </c:pt>
                <c:pt idx="6">
                  <c:v>847935</c:v>
                </c:pt>
                <c:pt idx="7">
                  <c:v>1144966</c:v>
                </c:pt>
                <c:pt idx="8">
                  <c:v>1427189</c:v>
                </c:pt>
                <c:pt idx="9">
                  <c:v>1313977</c:v>
                </c:pt>
                <c:pt idx="10">
                  <c:v>1263103</c:v>
                </c:pt>
                <c:pt idx="11">
                  <c:v>1225405</c:v>
                </c:pt>
                <c:pt idx="12">
                  <c:v>1209703</c:v>
                </c:pt>
                <c:pt idx="13">
                  <c:v>1231495</c:v>
                </c:pt>
                <c:pt idx="14">
                  <c:v>1147674</c:v>
                </c:pt>
                <c:pt idx="15">
                  <c:v>986657</c:v>
                </c:pt>
                <c:pt idx="16">
                  <c:v>444381</c:v>
                </c:pt>
                <c:pt idx="17">
                  <c:v>569783</c:v>
                </c:pt>
                <c:pt idx="18">
                  <c:v>712435</c:v>
                </c:pt>
                <c:pt idx="19">
                  <c:v>717155</c:v>
                </c:pt>
                <c:pt idx="20">
                  <c:v>768065</c:v>
                </c:pt>
              </c:numCache>
            </c:numRef>
          </c:val>
        </c:ser>
        <c:ser>
          <c:idx val="4"/>
          <c:order val="4"/>
          <c:tx>
            <c:strRef>
              <c:f>Car_plus_Cab!F4</c:f>
              <c:strCache>
                <c:ptCount val="1"/>
                <c:pt idx="0">
                  <c:v>CNG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Car_plus_Cab!$F$5:$F$25</c:f>
              <c:numCache>
                <c:formatCode>#,##0;\(#,##0\);\-</c:formatCode>
                <c:ptCount val="21"/>
                <c:pt idx="0">
                  <c:v>55977</c:v>
                </c:pt>
                <c:pt idx="1">
                  <c:v>71001</c:v>
                </c:pt>
                <c:pt idx="2">
                  <c:v>88630</c:v>
                </c:pt>
                <c:pt idx="3">
                  <c:v>106273</c:v>
                </c:pt>
                <c:pt idx="4">
                  <c:v>105130</c:v>
                </c:pt>
                <c:pt idx="5">
                  <c:v>130581</c:v>
                </c:pt>
                <c:pt idx="6">
                  <c:v>186365</c:v>
                </c:pt>
                <c:pt idx="7">
                  <c:v>194309</c:v>
                </c:pt>
                <c:pt idx="8">
                  <c:v>158068</c:v>
                </c:pt>
                <c:pt idx="9">
                  <c:v>143753</c:v>
                </c:pt>
                <c:pt idx="10">
                  <c:v>170725</c:v>
                </c:pt>
                <c:pt idx="11">
                  <c:v>191559</c:v>
                </c:pt>
                <c:pt idx="12">
                  <c:v>240831</c:v>
                </c:pt>
                <c:pt idx="13">
                  <c:v>225245</c:v>
                </c:pt>
                <c:pt idx="14">
                  <c:v>258905</c:v>
                </c:pt>
                <c:pt idx="15">
                  <c:v>246257</c:v>
                </c:pt>
                <c:pt idx="16">
                  <c:v>227125</c:v>
                </c:pt>
                <c:pt idx="17">
                  <c:v>299200</c:v>
                </c:pt>
                <c:pt idx="18">
                  <c:v>446447</c:v>
                </c:pt>
                <c:pt idx="19">
                  <c:v>629951</c:v>
                </c:pt>
                <c:pt idx="20">
                  <c:v>827608</c:v>
                </c:pt>
              </c:numCache>
            </c:numRef>
          </c:val>
        </c:ser>
        <c:ser>
          <c:idx val="5"/>
          <c:order val="5"/>
          <c:tx>
            <c:strRef>
              <c:f>Car_plus_Cab!G4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Car_plus_Cab!$G$5:$G$25</c:f>
              <c:numCache>
                <c:formatCode>#,##0;\(#,##0\);\-</c:formatCode>
                <c:ptCount val="21"/>
                <c:pt idx="0">
                  <c:v>48942</c:v>
                </c:pt>
                <c:pt idx="1">
                  <c:v>50809</c:v>
                </c:pt>
                <c:pt idx="2">
                  <c:v>73913</c:v>
                </c:pt>
                <c:pt idx="3">
                  <c:v>85388</c:v>
                </c:pt>
                <c:pt idx="4">
                  <c:v>83157</c:v>
                </c:pt>
                <c:pt idx="5">
                  <c:v>96083</c:v>
                </c:pt>
                <c:pt idx="6">
                  <c:v>83722</c:v>
                </c:pt>
                <c:pt idx="7">
                  <c:v>85235</c:v>
                </c:pt>
                <c:pt idx="8">
                  <c:v>64540</c:v>
                </c:pt>
                <c:pt idx="9">
                  <c:v>37397</c:v>
                </c:pt>
                <c:pt idx="10">
                  <c:v>39423</c:v>
                </c:pt>
                <c:pt idx="11">
                  <c:v>29566</c:v>
                </c:pt>
                <c:pt idx="12">
                  <c:v>29325</c:v>
                </c:pt>
                <c:pt idx="13">
                  <c:v>24847</c:v>
                </c:pt>
                <c:pt idx="14">
                  <c:v>22806</c:v>
                </c:pt>
                <c:pt idx="15">
                  <c:v>17416</c:v>
                </c:pt>
                <c:pt idx="16">
                  <c:v>12489</c:v>
                </c:pt>
                <c:pt idx="17">
                  <c:v>10151</c:v>
                </c:pt>
                <c:pt idx="18">
                  <c:v>9116</c:v>
                </c:pt>
                <c:pt idx="19">
                  <c:v>6605</c:v>
                </c:pt>
                <c:pt idx="20">
                  <c:v>9986</c:v>
                </c:pt>
              </c:numCache>
            </c:numRef>
          </c:val>
        </c:ser>
        <c:ser>
          <c:idx val="6"/>
          <c:order val="6"/>
          <c:tx>
            <c:strRef>
              <c:f>Car_plus_Cab!H4</c:f>
              <c:strCache>
                <c:ptCount val="1"/>
                <c:pt idx="0">
                  <c:v>Other / NA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Car_plus_Cab!$H$5:$H$25</c:f>
              <c:numCache>
                <c:formatCode>#,##0;\(#,##0\);\-</c:formatCode>
                <c:ptCount val="21"/>
                <c:pt idx="0">
                  <c:v>2106</c:v>
                </c:pt>
                <c:pt idx="1">
                  <c:v>2163</c:v>
                </c:pt>
                <c:pt idx="2">
                  <c:v>3525</c:v>
                </c:pt>
                <c:pt idx="3">
                  <c:v>3152</c:v>
                </c:pt>
                <c:pt idx="4">
                  <c:v>2744</c:v>
                </c:pt>
                <c:pt idx="5">
                  <c:v>2782</c:v>
                </c:pt>
                <c:pt idx="6">
                  <c:v>2733</c:v>
                </c:pt>
                <c:pt idx="7">
                  <c:v>2794</c:v>
                </c:pt>
                <c:pt idx="8">
                  <c:v>2521</c:v>
                </c:pt>
                <c:pt idx="9">
                  <c:v>1920</c:v>
                </c:pt>
                <c:pt idx="10">
                  <c:v>1376</c:v>
                </c:pt>
                <c:pt idx="11">
                  <c:v>3194</c:v>
                </c:pt>
                <c:pt idx="12">
                  <c:v>4275</c:v>
                </c:pt>
                <c:pt idx="13">
                  <c:v>6801</c:v>
                </c:pt>
                <c:pt idx="14">
                  <c:v>8338</c:v>
                </c:pt>
                <c:pt idx="15">
                  <c:v>3652</c:v>
                </c:pt>
                <c:pt idx="16">
                  <c:v>171</c:v>
                </c:pt>
                <c:pt idx="17">
                  <c:v>440</c:v>
                </c:pt>
                <c:pt idx="18">
                  <c:v>195</c:v>
                </c:pt>
                <c:pt idx="19">
                  <c:v>369</c:v>
                </c:pt>
                <c:pt idx="20">
                  <c:v>319</c:v>
                </c:pt>
              </c:numCache>
            </c:numRef>
          </c:val>
        </c:ser>
        <c:gapWidth val="150"/>
        <c:overlap val="100"/>
        <c:axId val="78153986"/>
        <c:axId val="77101862"/>
      </c:barChart>
      <c:catAx>
        <c:axId val="78153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01862"/>
        <c:crosses val="autoZero"/>
        <c:auto val="1"/>
        <c:lblAlgn val="ctr"/>
        <c:lblOffset val="100"/>
        <c:noMultiLvlLbl val="0"/>
      </c:catAx>
      <c:valAx>
        <c:axId val="77101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Registrations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53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Car + Motor Cab – EV &amp; Hybrid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Car_plus_Cab!J4</c:f>
              <c:strCache>
                <c:ptCount val="1"/>
                <c:pt idx="0">
                  <c:v>EV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Car_plus_Cab!$J$5:$J$25</c:f>
              <c:numCache>
                <c:formatCode>0.0%;\-0.0%;\-</c:formatCode>
                <c:ptCount val="21"/>
                <c:pt idx="0">
                  <c:v>0.000219803900441763</c:v>
                </c:pt>
                <c:pt idx="1">
                  <c:v>0.000173819863408149</c:v>
                </c:pt>
                <c:pt idx="2">
                  <c:v>0.000195583937311373</c:v>
                </c:pt>
                <c:pt idx="3">
                  <c:v>0.000235386534371611</c:v>
                </c:pt>
                <c:pt idx="4">
                  <c:v>0.000325548506397951</c:v>
                </c:pt>
                <c:pt idx="5">
                  <c:v>0.000144345861174307</c:v>
                </c:pt>
                <c:pt idx="6">
                  <c:v>0.000166392999627228</c:v>
                </c:pt>
                <c:pt idx="7">
                  <c:v>0.000269026454137077</c:v>
                </c:pt>
                <c:pt idx="8">
                  <c:v>8.32854891615118E-005</c:v>
                </c:pt>
                <c:pt idx="9">
                  <c:v>0.000181500141302123</c:v>
                </c:pt>
                <c:pt idx="10">
                  <c:v>0.000222461218872689</c:v>
                </c:pt>
                <c:pt idx="11">
                  <c:v>0.000292092680571586</c:v>
                </c:pt>
                <c:pt idx="12">
                  <c:v>0.000260215115621804</c:v>
                </c:pt>
                <c:pt idx="13">
                  <c:v>0.000366116136476262</c:v>
                </c:pt>
                <c:pt idx="14">
                  <c:v>0.000584643487163623</c:v>
                </c:pt>
                <c:pt idx="15">
                  <c:v>0.000891262111877347</c:v>
                </c:pt>
                <c:pt idx="16">
                  <c:v>0.00203747141626463</c:v>
                </c:pt>
                <c:pt idx="17">
                  <c:v>0.00643271106438664</c:v>
                </c:pt>
                <c:pt idx="18">
                  <c:v>0.0134855483700673</c:v>
                </c:pt>
                <c:pt idx="19">
                  <c:v>0.023995340910148</c:v>
                </c:pt>
                <c:pt idx="20">
                  <c:v>0.0271062827800524</c:v>
                </c:pt>
              </c:numCache>
            </c:numRef>
          </c:val>
        </c:ser>
        <c:ser>
          <c:idx val="1"/>
          <c:order val="1"/>
          <c:tx>
            <c:strRef>
              <c:f>Car_plus_Cab!K4</c:f>
              <c:strCache>
                <c:ptCount val="1"/>
                <c:pt idx="0">
                  <c:v>Hybrid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Car_plus_Cab!$A$5:$A$25</c:f>
              <c:strCache>
                <c:ptCount val="21"/>
                <c:pt idx="0">
                  <c:v>FY04-05</c:v>
                </c:pt>
                <c:pt idx="1">
                  <c:v>FY05-06</c:v>
                </c:pt>
                <c:pt idx="2">
                  <c:v>FY06-07</c:v>
                </c:pt>
                <c:pt idx="3">
                  <c:v>FY07-08</c:v>
                </c:pt>
                <c:pt idx="4">
                  <c:v>FY08-09</c:v>
                </c:pt>
                <c:pt idx="5">
                  <c:v>FY09-10</c:v>
                </c:pt>
                <c:pt idx="6">
                  <c:v>FY10-11</c:v>
                </c:pt>
                <c:pt idx="7">
                  <c:v>FY11-12</c:v>
                </c:pt>
                <c:pt idx="8">
                  <c:v>FY12-13</c:v>
                </c:pt>
                <c:pt idx="9">
                  <c:v>FY13-14</c:v>
                </c:pt>
                <c:pt idx="10">
                  <c:v>FY14-15</c:v>
                </c:pt>
                <c:pt idx="11">
                  <c:v>FY15-16</c:v>
                </c:pt>
                <c:pt idx="12">
                  <c:v>FY16-17</c:v>
                </c:pt>
                <c:pt idx="13">
                  <c:v>FY17-18</c:v>
                </c:pt>
                <c:pt idx="14">
                  <c:v>FY18-19</c:v>
                </c:pt>
                <c:pt idx="15">
                  <c:v>FY19-20</c:v>
                </c:pt>
                <c:pt idx="16">
                  <c:v>FY20-21</c:v>
                </c:pt>
                <c:pt idx="17">
                  <c:v>FY21-22</c:v>
                </c:pt>
                <c:pt idx="18">
                  <c:v>FY22-23</c:v>
                </c:pt>
                <c:pt idx="19">
                  <c:v>FY23-24</c:v>
                </c:pt>
                <c:pt idx="20">
                  <c:v>FY24-25</c:v>
                </c:pt>
              </c:strCache>
            </c:strRef>
          </c:cat>
          <c:val>
            <c:numRef>
              <c:f>Car_plus_Cab!$K$5:$K$25</c:f>
              <c:numCache>
                <c:formatCode>0.0%;\-0.0%;\-</c:formatCode>
                <c:ptCount val="21"/>
                <c:pt idx="0">
                  <c:v>2.47818123047085E-005</c:v>
                </c:pt>
                <c:pt idx="1">
                  <c:v>1.81460296964551E-005</c:v>
                </c:pt>
                <c:pt idx="2">
                  <c:v>1.98764163934322E-005</c:v>
                </c:pt>
                <c:pt idx="3">
                  <c:v>1.38056618399772E-005</c:v>
                </c:pt>
                <c:pt idx="4">
                  <c:v>1.44981116209614E-005</c:v>
                </c:pt>
                <c:pt idx="5">
                  <c:v>2.01659658993517E-005</c:v>
                </c:pt>
                <c:pt idx="6">
                  <c:v>1.1608813927481E-005</c:v>
                </c:pt>
                <c:pt idx="7">
                  <c:v>8.64026568031488E-006</c:v>
                </c:pt>
                <c:pt idx="8">
                  <c:v>1.58088197019536E-005</c:v>
                </c:pt>
                <c:pt idx="9">
                  <c:v>9.3389334450757E-006</c:v>
                </c:pt>
                <c:pt idx="10">
                  <c:v>8.82173798977906E-006</c:v>
                </c:pt>
                <c:pt idx="11">
                  <c:v>0.000717516224040899</c:v>
                </c:pt>
                <c:pt idx="12">
                  <c:v>0.00666826318785592</c:v>
                </c:pt>
                <c:pt idx="13">
                  <c:v>0.0169467393474997</c:v>
                </c:pt>
                <c:pt idx="14">
                  <c:v>0.0289047126254758</c:v>
                </c:pt>
                <c:pt idx="15">
                  <c:v>0.0321897153240381</c:v>
                </c:pt>
                <c:pt idx="16">
                  <c:v>0.0403136534462965</c:v>
                </c:pt>
                <c:pt idx="17">
                  <c:v>0.0399396673114774</c:v>
                </c:pt>
                <c:pt idx="18">
                  <c:v>0.0699569750560908</c:v>
                </c:pt>
                <c:pt idx="19">
                  <c:v>0.078913946375423</c:v>
                </c:pt>
                <c:pt idx="20">
                  <c:v>0.0845702554125815</c:v>
                </c:pt>
              </c:numCache>
            </c:numRef>
          </c:val>
        </c:ser>
        <c:gapWidth val="150"/>
        <c:overlap val="0"/>
        <c:axId val="97512819"/>
        <c:axId val="22209464"/>
      </c:barChart>
      <c:catAx>
        <c:axId val="97512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09464"/>
        <c:crosses val="autoZero"/>
        <c:auto val="1"/>
        <c:lblAlgn val="ctr"/>
        <c:lblOffset val="100"/>
        <c:noMultiLvlLbl val="0"/>
      </c:catAx>
      <c:valAx>
        <c:axId val="22209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registrations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12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10</xdr:col>
      <xdr:colOff>619560</xdr:colOff>
      <xdr:row>46</xdr:row>
      <xdr:rowOff>170640</xdr:rowOff>
    </xdr:to>
    <xdr:graphicFrame>
      <xdr:nvGraphicFramePr>
        <xdr:cNvPr id="0" name="Chart 1"/>
        <xdr:cNvGraphicFramePr/>
      </xdr:nvGraphicFramePr>
      <xdr:xfrm>
        <a:off x="0" y="533412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10</xdr:col>
      <xdr:colOff>619560</xdr:colOff>
      <xdr:row>65</xdr:row>
      <xdr:rowOff>21960</xdr:rowOff>
    </xdr:to>
    <xdr:graphicFrame>
      <xdr:nvGraphicFramePr>
        <xdr:cNvPr id="1" name="Chart 2"/>
        <xdr:cNvGraphicFramePr/>
      </xdr:nvGraphicFramePr>
      <xdr:xfrm>
        <a:off x="0" y="95248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10</xdr:col>
      <xdr:colOff>619560</xdr:colOff>
      <xdr:row>46</xdr:row>
      <xdr:rowOff>170640</xdr:rowOff>
    </xdr:to>
    <xdr:graphicFrame>
      <xdr:nvGraphicFramePr>
        <xdr:cNvPr id="2" name="Chart 1"/>
        <xdr:cNvGraphicFramePr/>
      </xdr:nvGraphicFramePr>
      <xdr:xfrm>
        <a:off x="0" y="533412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10</xdr:col>
      <xdr:colOff>619560</xdr:colOff>
      <xdr:row>65</xdr:row>
      <xdr:rowOff>21960</xdr:rowOff>
    </xdr:to>
    <xdr:graphicFrame>
      <xdr:nvGraphicFramePr>
        <xdr:cNvPr id="3" name="Chart 2"/>
        <xdr:cNvGraphicFramePr/>
      </xdr:nvGraphicFramePr>
      <xdr:xfrm>
        <a:off x="0" y="95248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10</xdr:col>
      <xdr:colOff>619560</xdr:colOff>
      <xdr:row>46</xdr:row>
      <xdr:rowOff>170640</xdr:rowOff>
    </xdr:to>
    <xdr:graphicFrame>
      <xdr:nvGraphicFramePr>
        <xdr:cNvPr id="4" name="Chart 1"/>
        <xdr:cNvGraphicFramePr/>
      </xdr:nvGraphicFramePr>
      <xdr:xfrm>
        <a:off x="0" y="533412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10</xdr:col>
      <xdr:colOff>619560</xdr:colOff>
      <xdr:row>65</xdr:row>
      <xdr:rowOff>21960</xdr:rowOff>
    </xdr:to>
    <xdr:graphicFrame>
      <xdr:nvGraphicFramePr>
        <xdr:cNvPr id="5" name="Chart 2"/>
        <xdr:cNvGraphicFramePr/>
      </xdr:nvGraphicFramePr>
      <xdr:xfrm>
        <a:off x="0" y="95248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f aca="false">SUMPRODUCT((Raw_Fuel_Detail!$A$3:$A$44=$A5)*(Raw_Fuel_Detail!$B$3:$B$44="Motor Car")*(Raw_Fuel_Detail!$C$1:$AL$1=B$4)*Raw_Fuel_Detail!$C$3:$AL$44)</f>
        <v>203</v>
      </c>
      <c r="C5" s="5" t="n">
        <f aca="false">SUMPRODUCT((Raw_Fuel_Detail!$A$3:$A$44=$A5)*(Raw_Fuel_Detail!$B$3:$B$44="Motor Car")*(Raw_Fuel_Detail!$C$1:$AL$1=C$4)*Raw_Fuel_Detail!$C$3:$AL$44)</f>
        <v>23</v>
      </c>
      <c r="D5" s="5" t="n">
        <f aca="false">SUMPRODUCT((Raw_Fuel_Detail!$A$3:$A$44=$A5)*(Raw_Fuel_Detail!$B$3:$B$44="Motor Car")*(Raw_Fuel_Detail!$C$1:$AL$1=D$4)*Raw_Fuel_Detail!$C$3:$AL$44)</f>
        <v>543547</v>
      </c>
      <c r="E5" s="5" t="n">
        <f aca="false">SUMPRODUCT((Raw_Fuel_Detail!$A$3:$A$44=$A5)*(Raw_Fuel_Detail!$B$3:$B$44="Motor Car")*(Raw_Fuel_Detail!$C$1:$AL$1=E$4)*Raw_Fuel_Detail!$C$3:$AL$44)</f>
        <v>247776</v>
      </c>
      <c r="F5" s="5" t="n">
        <f aca="false">SUMPRODUCT((Raw_Fuel_Detail!$A$3:$A$44=$A5)*(Raw_Fuel_Detail!$B$3:$B$44="Motor Car")*(Raw_Fuel_Detail!$C$1:$AL$1=F$4)*Raw_Fuel_Detail!$C$3:$AL$44)</f>
        <v>54883</v>
      </c>
      <c r="G5" s="5" t="n">
        <f aca="false">SUMPRODUCT((Raw_Fuel_Detail!$A$3:$A$44=$A5)*(Raw_Fuel_Detail!$B$3:$B$44="Motor Car")*(Raw_Fuel_Detail!$C$1:$AL$1=G$4)*Raw_Fuel_Detail!$C$3:$AL$44)</f>
        <v>47858</v>
      </c>
      <c r="H5" s="5" t="n">
        <f aca="false">SUMPRODUCT((Raw_Fuel_Detail!$A$3:$A$44=$A5)*(Raw_Fuel_Detail!$B$3:$B$44="Motor Car")*(Raw_Fuel_Detail!$C$1:$AL$1=H$4)*Raw_Fuel_Detail!$C$3:$AL$44)</f>
        <v>1890</v>
      </c>
      <c r="I5" s="5" t="n">
        <f aca="false">SUM(B5:H5)</f>
        <v>896180</v>
      </c>
      <c r="J5" s="6" t="n">
        <f aca="false">IF($I5=0,0,B5/$I5)</f>
        <v>0.000226516994353813</v>
      </c>
      <c r="K5" s="6" t="n">
        <f aca="false">IF($I5=0,0,C5/$I5)</f>
        <v>2.56644870450133E-005</v>
      </c>
      <c r="L5" s="6" t="n">
        <f aca="false">IF($I5=0,0,D5/$I5)</f>
        <v>0.606515432167645</v>
      </c>
      <c r="M5" s="6" t="n">
        <f aca="false">IF($I5=0,0,E5/$I5)</f>
        <v>0.27648017139414</v>
      </c>
      <c r="N5" s="6" t="n">
        <f aca="false">IF($I5=0,0,F5/$I5)</f>
        <v>0.0612410453257158</v>
      </c>
    </row>
    <row r="6" customFormat="false" ht="15" hidden="false" customHeight="false" outlineLevel="0" collapsed="false">
      <c r="A6" s="4" t="s">
        <v>17</v>
      </c>
      <c r="B6" s="5" t="n">
        <f aca="false">SUMPRODUCT((Raw_Fuel_Detail!$A$3:$A$44=$A6)*(Raw_Fuel_Detail!$B$3:$B$44="Motor Car")*(Raw_Fuel_Detail!$C$1:$AL$1=B$4)*Raw_Fuel_Detail!$C$3:$AL$44)</f>
        <v>180</v>
      </c>
      <c r="C6" s="5" t="n">
        <f aca="false">SUMPRODUCT((Raw_Fuel_Detail!$A$3:$A$44=$A6)*(Raw_Fuel_Detail!$B$3:$B$44="Motor Car")*(Raw_Fuel_Detail!$C$1:$AL$1=C$4)*Raw_Fuel_Detail!$C$3:$AL$44)</f>
        <v>19</v>
      </c>
      <c r="D6" s="5" t="n">
        <f aca="false">SUMPRODUCT((Raw_Fuel_Detail!$A$3:$A$44=$A6)*(Raw_Fuel_Detail!$B$3:$B$44="Motor Car")*(Raw_Fuel_Detail!$C$1:$AL$1=D$4)*Raw_Fuel_Detail!$C$3:$AL$44)</f>
        <v>606600</v>
      </c>
      <c r="E6" s="5" t="n">
        <f aca="false">SUMPRODUCT((Raw_Fuel_Detail!$A$3:$A$44=$A6)*(Raw_Fuel_Detail!$B$3:$B$44="Motor Car")*(Raw_Fuel_Detail!$C$1:$AL$1=E$4)*Raw_Fuel_Detail!$C$3:$AL$44)</f>
        <v>279128</v>
      </c>
      <c r="F6" s="5" t="n">
        <f aca="false">SUMPRODUCT((Raw_Fuel_Detail!$A$3:$A$44=$A6)*(Raw_Fuel_Detail!$B$3:$B$44="Motor Car")*(Raw_Fuel_Detail!$C$1:$AL$1=F$4)*Raw_Fuel_Detail!$C$3:$AL$44)</f>
        <v>70494</v>
      </c>
      <c r="G6" s="5" t="n">
        <f aca="false">SUMPRODUCT((Raw_Fuel_Detail!$A$3:$A$44=$A6)*(Raw_Fuel_Detail!$B$3:$B$44="Motor Car")*(Raw_Fuel_Detail!$C$1:$AL$1=G$4)*Raw_Fuel_Detail!$C$3:$AL$44)</f>
        <v>49220</v>
      </c>
      <c r="H6" s="5" t="n">
        <f aca="false">SUMPRODUCT((Raw_Fuel_Detail!$A$3:$A$44=$A6)*(Raw_Fuel_Detail!$B$3:$B$44="Motor Car")*(Raw_Fuel_Detail!$C$1:$AL$1=H$4)*Raw_Fuel_Detail!$C$3:$AL$44)</f>
        <v>1938</v>
      </c>
      <c r="I6" s="5" t="n">
        <f aca="false">SUM(B6:H6)</f>
        <v>1007579</v>
      </c>
      <c r="J6" s="6" t="n">
        <f aca="false">IF($I6=0,0,B6/$I6)</f>
        <v>0.000178646041650332</v>
      </c>
      <c r="K6" s="6" t="n">
        <f aca="false">IF($I6=0,0,C6/$I6)</f>
        <v>1.88570821742017E-005</v>
      </c>
      <c r="L6" s="6" t="n">
        <f aca="false">IF($I6=0,0,D6/$I6)</f>
        <v>0.602037160361619</v>
      </c>
      <c r="M6" s="6" t="n">
        <f aca="false">IF($I6=0,0,E6/$I6)</f>
        <v>0.277028401743188</v>
      </c>
      <c r="N6" s="6" t="n">
        <f aca="false">IF($I6=0,0,F6/$I6)</f>
        <v>0.0699637447783251</v>
      </c>
    </row>
    <row r="7" customFormat="false" ht="15" hidden="false" customHeight="false" outlineLevel="0" collapsed="false">
      <c r="A7" s="4" t="s">
        <v>18</v>
      </c>
      <c r="B7" s="5" t="n">
        <f aca="false">SUMPRODUCT((Raw_Fuel_Detail!$A$3:$A$44=$A7)*(Raw_Fuel_Detail!$B$3:$B$44="Motor Car")*(Raw_Fuel_Detail!$C$1:$AL$1=B$4)*Raw_Fuel_Detail!$C$3:$AL$44)</f>
        <v>243</v>
      </c>
      <c r="C7" s="5" t="n">
        <f aca="false">SUMPRODUCT((Raw_Fuel_Detail!$A$3:$A$44=$A7)*(Raw_Fuel_Detail!$B$3:$B$44="Motor Car")*(Raw_Fuel_Detail!$C$1:$AL$1=C$4)*Raw_Fuel_Detail!$C$3:$AL$44)</f>
        <v>24</v>
      </c>
      <c r="D7" s="5" t="n">
        <f aca="false">SUMPRODUCT((Raw_Fuel_Detail!$A$3:$A$44=$A7)*(Raw_Fuel_Detail!$B$3:$B$44="Motor Car")*(Raw_Fuel_Detail!$C$1:$AL$1=D$4)*Raw_Fuel_Detail!$C$3:$AL$44)</f>
        <v>711428</v>
      </c>
      <c r="E7" s="5" t="n">
        <f aca="false">SUMPRODUCT((Raw_Fuel_Detail!$A$3:$A$44=$A7)*(Raw_Fuel_Detail!$B$3:$B$44="Motor Car")*(Raw_Fuel_Detail!$C$1:$AL$1=E$4)*Raw_Fuel_Detail!$C$3:$AL$44)</f>
        <v>332590</v>
      </c>
      <c r="F7" s="5" t="n">
        <f aca="false">SUMPRODUCT((Raw_Fuel_Detail!$A$3:$A$44=$A7)*(Raw_Fuel_Detail!$B$3:$B$44="Motor Car")*(Raw_Fuel_Detail!$C$1:$AL$1=F$4)*Raw_Fuel_Detail!$C$3:$AL$44)</f>
        <v>87186</v>
      </c>
      <c r="G7" s="5" t="n">
        <f aca="false">SUMPRODUCT((Raw_Fuel_Detail!$A$3:$A$44=$A7)*(Raw_Fuel_Detail!$B$3:$B$44="Motor Car")*(Raw_Fuel_Detail!$C$1:$AL$1=G$4)*Raw_Fuel_Detail!$C$3:$AL$44)</f>
        <v>71485</v>
      </c>
      <c r="H7" s="5" t="n">
        <f aca="false">SUMPRODUCT((Raw_Fuel_Detail!$A$3:$A$44=$A7)*(Raw_Fuel_Detail!$B$3:$B$44="Motor Car")*(Raw_Fuel_Detail!$C$1:$AL$1=H$4)*Raw_Fuel_Detail!$C$3:$AL$44)</f>
        <v>3201</v>
      </c>
      <c r="I7" s="5" t="n">
        <f aca="false">SUM(B7:H7)</f>
        <v>1206157</v>
      </c>
      <c r="J7" s="6" t="n">
        <f aca="false">IF($I7=0,0,B7/$I7)</f>
        <v>0.000201466309941409</v>
      </c>
      <c r="K7" s="6" t="n">
        <f aca="false">IF($I7=0,0,C7/$I7)</f>
        <v>1.98979071547071E-005</v>
      </c>
      <c r="L7" s="6" t="n">
        <f aca="false">IF($I7=0,0,D7/$I7)</f>
        <v>0.589830345469122</v>
      </c>
      <c r="M7" s="6" t="n">
        <f aca="false">IF($I7=0,0,E7/$I7)</f>
        <v>0.275743539191001</v>
      </c>
      <c r="N7" s="6" t="n">
        <f aca="false">IF($I7=0,0,F7/$I7)</f>
        <v>0.0722841222162621</v>
      </c>
    </row>
    <row r="8" customFormat="false" ht="15" hidden="false" customHeight="false" outlineLevel="0" collapsed="false">
      <c r="A8" s="4" t="s">
        <v>19</v>
      </c>
      <c r="B8" s="5" t="n">
        <f aca="false">SUMPRODUCT((Raw_Fuel_Detail!$A$3:$A$44=$A8)*(Raw_Fuel_Detail!$B$3:$B$44="Motor Car")*(Raw_Fuel_Detail!$C$1:$AL$1=B$4)*Raw_Fuel_Detail!$C$3:$AL$44)</f>
        <v>336</v>
      </c>
      <c r="C8" s="5" t="n">
        <f aca="false">SUMPRODUCT((Raw_Fuel_Detail!$A$3:$A$44=$A8)*(Raw_Fuel_Detail!$B$3:$B$44="Motor Car")*(Raw_Fuel_Detail!$C$1:$AL$1=C$4)*Raw_Fuel_Detail!$C$3:$AL$44)</f>
        <v>20</v>
      </c>
      <c r="D8" s="5" t="n">
        <f aca="false">SUMPRODUCT((Raw_Fuel_Detail!$A$3:$A$44=$A8)*(Raw_Fuel_Detail!$B$3:$B$44="Motor Car")*(Raw_Fuel_Detail!$C$1:$AL$1=D$4)*Raw_Fuel_Detail!$C$3:$AL$44)</f>
        <v>781588</v>
      </c>
      <c r="E8" s="5" t="n">
        <f aca="false">SUMPRODUCT((Raw_Fuel_Detail!$A$3:$A$44=$A8)*(Raw_Fuel_Detail!$B$3:$B$44="Motor Car")*(Raw_Fuel_Detail!$C$1:$AL$1=E$4)*Raw_Fuel_Detail!$C$3:$AL$44)</f>
        <v>417877</v>
      </c>
      <c r="F8" s="5" t="n">
        <f aca="false">SUMPRODUCT((Raw_Fuel_Detail!$A$3:$A$44=$A8)*(Raw_Fuel_Detail!$B$3:$B$44="Motor Car")*(Raw_Fuel_Detail!$C$1:$AL$1=F$4)*Raw_Fuel_Detail!$C$3:$AL$44)</f>
        <v>103114</v>
      </c>
      <c r="G8" s="5" t="n">
        <f aca="false">SUMPRODUCT((Raw_Fuel_Detail!$A$3:$A$44=$A8)*(Raw_Fuel_Detail!$B$3:$B$44="Motor Car")*(Raw_Fuel_Detail!$C$1:$AL$1=G$4)*Raw_Fuel_Detail!$C$3:$AL$44)</f>
        <v>83047</v>
      </c>
      <c r="H8" s="5" t="n">
        <f aca="false">SUMPRODUCT((Raw_Fuel_Detail!$A$3:$A$44=$A8)*(Raw_Fuel_Detail!$B$3:$B$44="Motor Car")*(Raw_Fuel_Detail!$C$1:$AL$1=H$4)*Raw_Fuel_Detail!$C$3:$AL$44)</f>
        <v>2830</v>
      </c>
      <c r="I8" s="5" t="n">
        <f aca="false">SUM(B8:H8)</f>
        <v>1388812</v>
      </c>
      <c r="J8" s="6" t="n">
        <f aca="false">IF($I8=0,0,B8/$I8)</f>
        <v>0.00024193339343266</v>
      </c>
      <c r="K8" s="6" t="n">
        <f aca="false">IF($I8=0,0,C8/$I8)</f>
        <v>1.44007972281346E-005</v>
      </c>
      <c r="L8" s="6" t="n">
        <f aca="false">IF($I8=0,0,D8/$I8)</f>
        <v>0.562774515197161</v>
      </c>
      <c r="M8" s="6" t="n">
        <f aca="false">IF($I8=0,0,E8/$I8)</f>
        <v>0.300888097165059</v>
      </c>
      <c r="N8" s="6" t="n">
        <f aca="false">IF($I8=0,0,F8/$I8)</f>
        <v>0.0742461902690933</v>
      </c>
    </row>
    <row r="9" customFormat="false" ht="15" hidden="false" customHeight="false" outlineLevel="0" collapsed="false">
      <c r="A9" s="4" t="s">
        <v>20</v>
      </c>
      <c r="B9" s="5" t="n">
        <f aca="false">SUMPRODUCT((Raw_Fuel_Detail!$A$3:$A$44=$A9)*(Raw_Fuel_Detail!$B$3:$B$44="Motor Car")*(Raw_Fuel_Detail!$C$1:$AL$1=B$4)*Raw_Fuel_Detail!$C$3:$AL$44)</f>
        <v>490</v>
      </c>
      <c r="C9" s="5" t="n">
        <f aca="false">SUMPRODUCT((Raw_Fuel_Detail!$A$3:$A$44=$A9)*(Raw_Fuel_Detail!$B$3:$B$44="Motor Car")*(Raw_Fuel_Detail!$C$1:$AL$1=C$4)*Raw_Fuel_Detail!$C$3:$AL$44)</f>
        <v>22</v>
      </c>
      <c r="D9" s="5" t="n">
        <f aca="false">SUMPRODUCT((Raw_Fuel_Detail!$A$3:$A$44=$A9)*(Raw_Fuel_Detail!$B$3:$B$44="Motor Car")*(Raw_Fuel_Detail!$C$1:$AL$1=D$4)*Raw_Fuel_Detail!$C$3:$AL$44)</f>
        <v>787685</v>
      </c>
      <c r="E9" s="5" t="n">
        <f aca="false">SUMPRODUCT((Raw_Fuel_Detail!$A$3:$A$44=$A9)*(Raw_Fuel_Detail!$B$3:$B$44="Motor Car")*(Raw_Fuel_Detail!$C$1:$AL$1=E$4)*Raw_Fuel_Detail!$C$3:$AL$44)</f>
        <v>485194</v>
      </c>
      <c r="F9" s="5" t="n">
        <f aca="false">SUMPRODUCT((Raw_Fuel_Detail!$A$3:$A$44=$A9)*(Raw_Fuel_Detail!$B$3:$B$44="Motor Car")*(Raw_Fuel_Detail!$C$1:$AL$1=F$4)*Raw_Fuel_Detail!$C$3:$AL$44)</f>
        <v>101337</v>
      </c>
      <c r="G9" s="5" t="n">
        <f aca="false">SUMPRODUCT((Raw_Fuel_Detail!$A$3:$A$44=$A9)*(Raw_Fuel_Detail!$B$3:$B$44="Motor Car")*(Raw_Fuel_Detail!$C$1:$AL$1=G$4)*Raw_Fuel_Detail!$C$3:$AL$44)</f>
        <v>81774</v>
      </c>
      <c r="H9" s="5" t="n">
        <f aca="false">SUMPRODUCT((Raw_Fuel_Detail!$A$3:$A$44=$A9)*(Raw_Fuel_Detail!$B$3:$B$44="Motor Car")*(Raw_Fuel_Detail!$C$1:$AL$1=H$4)*Raw_Fuel_Detail!$C$3:$AL$44)</f>
        <v>2376</v>
      </c>
      <c r="I9" s="5" t="n">
        <f aca="false">SUM(B9:H9)</f>
        <v>1458878</v>
      </c>
      <c r="J9" s="6" t="n">
        <f aca="false">IF($I9=0,0,B9/$I9)</f>
        <v>0.000335874555651672</v>
      </c>
      <c r="K9" s="6" t="n">
        <f aca="false">IF($I9=0,0,C9/$I9)</f>
        <v>1.50800820904832E-005</v>
      </c>
      <c r="L9" s="6" t="n">
        <f aca="false">IF($I9=0,0,D9/$I9)</f>
        <v>0.539925202792831</v>
      </c>
      <c r="M9" s="6" t="n">
        <f aca="false">IF($I9=0,0,E9/$I9)</f>
        <v>0.332580243173178</v>
      </c>
      <c r="N9" s="6" t="n">
        <f aca="false">IF($I9=0,0,F9/$I9)</f>
        <v>0.06946228540015</v>
      </c>
    </row>
    <row r="10" customFormat="false" ht="15" hidden="false" customHeight="false" outlineLevel="0" collapsed="false">
      <c r="A10" s="4" t="s">
        <v>21</v>
      </c>
      <c r="B10" s="5" t="n">
        <f aca="false">SUMPRODUCT((Raw_Fuel_Detail!$A$3:$A$44=$A10)*(Raw_Fuel_Detail!$B$3:$B$44="Motor Car")*(Raw_Fuel_Detail!$C$1:$AL$1=B$4)*Raw_Fuel_Detail!$C$3:$AL$44)</f>
        <v>267</v>
      </c>
      <c r="C10" s="5" t="n">
        <f aca="false">SUMPRODUCT((Raw_Fuel_Detail!$A$3:$A$44=$A10)*(Raw_Fuel_Detail!$B$3:$B$44="Motor Car")*(Raw_Fuel_Detail!$C$1:$AL$1=C$4)*Raw_Fuel_Detail!$C$3:$AL$44)</f>
        <v>37</v>
      </c>
      <c r="D10" s="5" t="n">
        <f aca="false">SUMPRODUCT((Raw_Fuel_Detail!$A$3:$A$44=$A10)*(Raw_Fuel_Detail!$B$3:$B$44="Motor Car")*(Raw_Fuel_Detail!$C$1:$AL$1=D$4)*Raw_Fuel_Detail!$C$3:$AL$44)</f>
        <v>977493</v>
      </c>
      <c r="E10" s="5" t="n">
        <f aca="false">SUMPRODUCT((Raw_Fuel_Detail!$A$3:$A$44=$A10)*(Raw_Fuel_Detail!$B$3:$B$44="Motor Car")*(Raw_Fuel_Detail!$C$1:$AL$1=E$4)*Raw_Fuel_Detail!$C$3:$AL$44)</f>
        <v>608490</v>
      </c>
      <c r="F10" s="5" t="n">
        <f aca="false">SUMPRODUCT((Raw_Fuel_Detail!$A$3:$A$44=$A10)*(Raw_Fuel_Detail!$B$3:$B$44="Motor Car")*(Raw_Fuel_Detail!$C$1:$AL$1=F$4)*Raw_Fuel_Detail!$C$3:$AL$44)</f>
        <v>123252</v>
      </c>
      <c r="G10" s="5" t="n">
        <f aca="false">SUMPRODUCT((Raw_Fuel_Detail!$A$3:$A$44=$A10)*(Raw_Fuel_Detail!$B$3:$B$44="Motor Car")*(Raw_Fuel_Detail!$C$1:$AL$1=G$4)*Raw_Fuel_Detail!$C$3:$AL$44)</f>
        <v>94603</v>
      </c>
      <c r="H10" s="5" t="n">
        <f aca="false">SUMPRODUCT((Raw_Fuel_Detail!$A$3:$A$44=$A10)*(Raw_Fuel_Detail!$B$3:$B$44="Motor Car")*(Raw_Fuel_Detail!$C$1:$AL$1=H$4)*Raw_Fuel_Detail!$C$3:$AL$44)</f>
        <v>2471</v>
      </c>
      <c r="I10" s="5" t="n">
        <f aca="false">SUM(B10:H10)</f>
        <v>1806613</v>
      </c>
      <c r="J10" s="6" t="n">
        <f aca="false">IF($I10=0,0,B10/$I10)</f>
        <v>0.000147790367942664</v>
      </c>
      <c r="K10" s="6" t="n">
        <f aca="false">IF($I10=0,0,C10/$I10)</f>
        <v>2.04803131605939E-005</v>
      </c>
      <c r="L10" s="6" t="n">
        <f aca="false">IF($I10=0,0,D10/$I10)</f>
        <v>0.541063858169957</v>
      </c>
      <c r="M10" s="6" t="n">
        <f aca="false">IF($I10=0,0,E10/$I10)</f>
        <v>0.336812587975399</v>
      </c>
      <c r="N10" s="6" t="n">
        <f aca="false">IF($I10=0,0,F10/$I10)</f>
        <v>0.0682226907478248</v>
      </c>
    </row>
    <row r="11" customFormat="false" ht="15" hidden="false" customHeight="false" outlineLevel="0" collapsed="false">
      <c r="A11" s="4" t="s">
        <v>22</v>
      </c>
      <c r="B11" s="5" t="n">
        <f aca="false">SUMPRODUCT((Raw_Fuel_Detail!$A$3:$A$44=$A11)*(Raw_Fuel_Detail!$B$3:$B$44="Motor Car")*(Raw_Fuel_Detail!$C$1:$AL$1=B$4)*Raw_Fuel_Detail!$C$3:$AL$44)</f>
        <v>371</v>
      </c>
      <c r="C11" s="5" t="n">
        <f aca="false">SUMPRODUCT((Raw_Fuel_Detail!$A$3:$A$44=$A11)*(Raw_Fuel_Detail!$B$3:$B$44="Motor Car")*(Raw_Fuel_Detail!$C$1:$AL$1=C$4)*Raw_Fuel_Detail!$C$3:$AL$44)</f>
        <v>26</v>
      </c>
      <c r="D11" s="5" t="n">
        <f aca="false">SUMPRODUCT((Raw_Fuel_Detail!$A$3:$A$44=$A11)*(Raw_Fuel_Detail!$B$3:$B$44="Motor Car")*(Raw_Fuel_Detail!$C$1:$AL$1=D$4)*Raw_Fuel_Detail!$C$3:$AL$44)</f>
        <v>1198165</v>
      </c>
      <c r="E11" s="5" t="n">
        <f aca="false">SUMPRODUCT((Raw_Fuel_Detail!$A$3:$A$44=$A11)*(Raw_Fuel_Detail!$B$3:$B$44="Motor Car")*(Raw_Fuel_Detail!$C$1:$AL$1=E$4)*Raw_Fuel_Detail!$C$3:$AL$44)</f>
        <v>768682</v>
      </c>
      <c r="F11" s="5" t="n">
        <f aca="false">SUMPRODUCT((Raw_Fuel_Detail!$A$3:$A$44=$A11)*(Raw_Fuel_Detail!$B$3:$B$44="Motor Car")*(Raw_Fuel_Detail!$C$1:$AL$1=F$4)*Raw_Fuel_Detail!$C$3:$AL$44)</f>
        <v>168766</v>
      </c>
      <c r="G11" s="5" t="n">
        <f aca="false">SUMPRODUCT((Raw_Fuel_Detail!$A$3:$A$44=$A11)*(Raw_Fuel_Detail!$B$3:$B$44="Motor Car")*(Raw_Fuel_Detail!$C$1:$AL$1=G$4)*Raw_Fuel_Detail!$C$3:$AL$44)</f>
        <v>82160</v>
      </c>
      <c r="H11" s="5" t="n">
        <f aca="false">SUMPRODUCT((Raw_Fuel_Detail!$A$3:$A$44=$A11)*(Raw_Fuel_Detail!$B$3:$B$44="Motor Car")*(Raw_Fuel_Detail!$C$1:$AL$1=H$4)*Raw_Fuel_Detail!$C$3:$AL$44)</f>
        <v>2654</v>
      </c>
      <c r="I11" s="5" t="n">
        <f aca="false">SUM(B11:H11)</f>
        <v>2220824</v>
      </c>
      <c r="J11" s="6" t="n">
        <f aca="false">IF($I11=0,0,B11/$I11)</f>
        <v>0.000167055111075889</v>
      </c>
      <c r="K11" s="6" t="n">
        <f aca="false">IF($I11=0,0,C11/$I11)</f>
        <v>1.17073662748601E-005</v>
      </c>
      <c r="L11" s="6" t="n">
        <f aca="false">IF($I11=0,0,D11/$I11)</f>
        <v>0.539513712027608</v>
      </c>
      <c r="M11" s="6" t="n">
        <f aca="false">IF($I11=0,0,E11/$I11)</f>
        <v>0.346124681649694</v>
      </c>
      <c r="N11" s="6" t="n">
        <f aca="false">IF($I11=0,0,F11/$I11)</f>
        <v>0.0759925144901172</v>
      </c>
    </row>
    <row r="12" customFormat="false" ht="15" hidden="false" customHeight="false" outlineLevel="0" collapsed="false">
      <c r="A12" s="4" t="s">
        <v>23</v>
      </c>
      <c r="B12" s="5" t="n">
        <f aca="false">SUMPRODUCT((Raw_Fuel_Detail!$A$3:$A$44=$A12)*(Raw_Fuel_Detail!$B$3:$B$44="Motor Car")*(Raw_Fuel_Detail!$C$1:$AL$1=B$4)*Raw_Fuel_Detail!$C$3:$AL$44)</f>
        <v>676</v>
      </c>
      <c r="C12" s="5" t="n">
        <f aca="false">SUMPRODUCT((Raw_Fuel_Detail!$A$3:$A$44=$A12)*(Raw_Fuel_Detail!$B$3:$B$44="Motor Car")*(Raw_Fuel_Detail!$C$1:$AL$1=C$4)*Raw_Fuel_Detail!$C$3:$AL$44)</f>
        <v>21</v>
      </c>
      <c r="D12" s="5" t="n">
        <f aca="false">SUMPRODUCT((Raw_Fuel_Detail!$A$3:$A$44=$A12)*(Raw_Fuel_Detail!$B$3:$B$44="Motor Car")*(Raw_Fuel_Detail!$C$1:$AL$1=D$4)*Raw_Fuel_Detail!$C$3:$AL$44)</f>
        <v>1111992</v>
      </c>
      <c r="E12" s="5" t="n">
        <f aca="false">SUMPRODUCT((Raw_Fuel_Detail!$A$3:$A$44=$A12)*(Raw_Fuel_Detail!$B$3:$B$44="Motor Car")*(Raw_Fuel_Detail!$C$1:$AL$1=E$4)*Raw_Fuel_Detail!$C$3:$AL$44)</f>
        <v>1049355</v>
      </c>
      <c r="F12" s="5" t="n">
        <f aca="false">SUMPRODUCT((Raw_Fuel_Detail!$A$3:$A$44=$A12)*(Raw_Fuel_Detail!$B$3:$B$44="Motor Car")*(Raw_Fuel_Detail!$C$1:$AL$1=F$4)*Raw_Fuel_Detail!$C$3:$AL$44)</f>
        <v>182917</v>
      </c>
      <c r="G12" s="5" t="n">
        <f aca="false">SUMPRODUCT((Raw_Fuel_Detail!$A$3:$A$44=$A12)*(Raw_Fuel_Detail!$B$3:$B$44="Motor Car")*(Raw_Fuel_Detail!$C$1:$AL$1=G$4)*Raw_Fuel_Detail!$C$3:$AL$44)</f>
        <v>84023</v>
      </c>
      <c r="H12" s="5" t="n">
        <f aca="false">SUMPRODUCT((Raw_Fuel_Detail!$A$3:$A$44=$A12)*(Raw_Fuel_Detail!$B$3:$B$44="Motor Car")*(Raw_Fuel_Detail!$C$1:$AL$1=H$4)*Raw_Fuel_Detail!$C$3:$AL$44)</f>
        <v>2710</v>
      </c>
      <c r="I12" s="5" t="n">
        <f aca="false">SUM(B12:H12)</f>
        <v>2431694</v>
      </c>
      <c r="J12" s="6" t="n">
        <f aca="false">IF($I12=0,0,B12/$I12)</f>
        <v>0.00027799550436856</v>
      </c>
      <c r="K12" s="6" t="n">
        <f aca="false">IF($I12=0,0,C12/$I12)</f>
        <v>8.6359550173665E-006</v>
      </c>
      <c r="L12" s="6" t="n">
        <f aca="false">IF($I12=0,0,D12/$I12)</f>
        <v>0.457291090079591</v>
      </c>
      <c r="M12" s="6" t="n">
        <f aca="false">IF($I12=0,0,E12/$I12)</f>
        <v>0.431532503678506</v>
      </c>
      <c r="N12" s="6" t="n">
        <f aca="false">IF($I12=0,0,F12/$I12)</f>
        <v>0.0752220468529346</v>
      </c>
    </row>
    <row r="13" customFormat="false" ht="15" hidden="false" customHeight="false" outlineLevel="0" collapsed="false">
      <c r="A13" s="4" t="s">
        <v>24</v>
      </c>
      <c r="B13" s="5" t="n">
        <f aca="false">SUMPRODUCT((Raw_Fuel_Detail!$A$3:$A$44=$A13)*(Raw_Fuel_Detail!$B$3:$B$44="Motor Car")*(Raw_Fuel_Detail!$C$1:$AL$1=B$4)*Raw_Fuel_Detail!$C$3:$AL$44)</f>
        <v>208</v>
      </c>
      <c r="C13" s="5" t="n">
        <f aca="false">SUMPRODUCT((Raw_Fuel_Detail!$A$3:$A$44=$A13)*(Raw_Fuel_Detail!$B$3:$B$44="Motor Car")*(Raw_Fuel_Detail!$C$1:$AL$1=C$4)*Raw_Fuel_Detail!$C$3:$AL$44)</f>
        <v>38</v>
      </c>
      <c r="D13" s="5" t="n">
        <f aca="false">SUMPRODUCT((Raw_Fuel_Detail!$A$3:$A$44=$A13)*(Raw_Fuel_Detail!$B$3:$B$44="Motor Car")*(Raw_Fuel_Detail!$C$1:$AL$1=D$4)*Raw_Fuel_Detail!$C$3:$AL$44)</f>
        <v>935337</v>
      </c>
      <c r="E13" s="5" t="n">
        <f aca="false">SUMPRODUCT((Raw_Fuel_Detail!$A$3:$A$44=$A13)*(Raw_Fuel_Detail!$B$3:$B$44="Motor Car")*(Raw_Fuel_Detail!$C$1:$AL$1=E$4)*Raw_Fuel_Detail!$C$3:$AL$44)</f>
        <v>1310734</v>
      </c>
      <c r="F13" s="5" t="n">
        <f aca="false">SUMPRODUCT((Raw_Fuel_Detail!$A$3:$A$44=$A13)*(Raw_Fuel_Detail!$B$3:$B$44="Motor Car")*(Raw_Fuel_Detail!$C$1:$AL$1=F$4)*Raw_Fuel_Detail!$C$3:$AL$44)</f>
        <v>150385</v>
      </c>
      <c r="G13" s="5" t="n">
        <f aca="false">SUMPRODUCT((Raw_Fuel_Detail!$A$3:$A$44=$A13)*(Raw_Fuel_Detail!$B$3:$B$44="Motor Car")*(Raw_Fuel_Detail!$C$1:$AL$1=G$4)*Raw_Fuel_Detail!$C$3:$AL$44)</f>
        <v>63975</v>
      </c>
      <c r="H13" s="5" t="n">
        <f aca="false">SUMPRODUCT((Raw_Fuel_Detail!$A$3:$A$44=$A13)*(Raw_Fuel_Detail!$B$3:$B$44="Motor Car")*(Raw_Fuel_Detail!$C$1:$AL$1=H$4)*Raw_Fuel_Detail!$C$3:$AL$44)</f>
        <v>2430</v>
      </c>
      <c r="I13" s="5" t="n">
        <f aca="false">SUM(B13:H13)</f>
        <v>2463107</v>
      </c>
      <c r="J13" s="6" t="n">
        <f aca="false">IF($I13=0,0,B13/$I13)</f>
        <v>8.44461893048089E-005</v>
      </c>
      <c r="K13" s="6" t="n">
        <f aca="false">IF($I13=0,0,C13/$I13)</f>
        <v>1.5427669199917E-005</v>
      </c>
      <c r="L13" s="6" t="n">
        <f aca="false">IF($I13=0,0,D13/$I13)</f>
        <v>0.379738679643231</v>
      </c>
      <c r="M13" s="6" t="n">
        <f aca="false">IF($I13=0,0,E13/$I13)</f>
        <v>0.532146593712738</v>
      </c>
      <c r="N13" s="6" t="n">
        <f aca="false">IF($I13=0,0,F13/$I13)</f>
        <v>0.0610550008586716</v>
      </c>
    </row>
    <row r="14" customFormat="false" ht="15" hidden="false" customHeight="false" outlineLevel="0" collapsed="false">
      <c r="A14" s="4" t="s">
        <v>25</v>
      </c>
      <c r="B14" s="5" t="n">
        <f aca="false">SUMPRODUCT((Raw_Fuel_Detail!$A$3:$A$44=$A14)*(Raw_Fuel_Detail!$B$3:$B$44="Motor Car")*(Raw_Fuel_Detail!$C$1:$AL$1=B$4)*Raw_Fuel_Detail!$C$3:$AL$44)</f>
        <v>424</v>
      </c>
      <c r="C14" s="5" t="n">
        <f aca="false">SUMPRODUCT((Raw_Fuel_Detail!$A$3:$A$44=$A14)*(Raw_Fuel_Detail!$B$3:$B$44="Motor Car")*(Raw_Fuel_Detail!$C$1:$AL$1=C$4)*Raw_Fuel_Detail!$C$3:$AL$44)</f>
        <v>23</v>
      </c>
      <c r="D14" s="5" t="n">
        <f aca="false">SUMPRODUCT((Raw_Fuel_Detail!$A$3:$A$44=$A14)*(Raw_Fuel_Detail!$B$3:$B$44="Motor Car")*(Raw_Fuel_Detail!$C$1:$AL$1=D$4)*Raw_Fuel_Detail!$C$3:$AL$44)</f>
        <v>959118</v>
      </c>
      <c r="E14" s="5" t="n">
        <f aca="false">SUMPRODUCT((Raw_Fuel_Detail!$A$3:$A$44=$A14)*(Raw_Fuel_Detail!$B$3:$B$44="Motor Car")*(Raw_Fuel_Detail!$C$1:$AL$1=E$4)*Raw_Fuel_Detail!$C$3:$AL$44)</f>
        <v>1211564</v>
      </c>
      <c r="F14" s="5" t="n">
        <f aca="false">SUMPRODUCT((Raw_Fuel_Detail!$A$3:$A$44=$A14)*(Raw_Fuel_Detail!$B$3:$B$44="Motor Car")*(Raw_Fuel_Detail!$C$1:$AL$1=F$4)*Raw_Fuel_Detail!$C$3:$AL$44)</f>
        <v>134424</v>
      </c>
      <c r="G14" s="5" t="n">
        <f aca="false">SUMPRODUCT((Raw_Fuel_Detail!$A$3:$A$44=$A14)*(Raw_Fuel_Detail!$B$3:$B$44="Motor Car")*(Raw_Fuel_Detail!$C$1:$AL$1=G$4)*Raw_Fuel_Detail!$C$3:$AL$44)</f>
        <v>37023</v>
      </c>
      <c r="H14" s="5" t="n">
        <f aca="false">SUMPRODUCT((Raw_Fuel_Detail!$A$3:$A$44=$A14)*(Raw_Fuel_Detail!$B$3:$B$44="Motor Car")*(Raw_Fuel_Detail!$C$1:$AL$1=H$4)*Raw_Fuel_Detail!$C$3:$AL$44)</f>
        <v>1829</v>
      </c>
      <c r="I14" s="5" t="n">
        <f aca="false">SUM(B14:H14)</f>
        <v>2344405</v>
      </c>
      <c r="J14" s="6" t="n">
        <f aca="false">IF($I14=0,0,B14/$I14)</f>
        <v>0.000180856123408711</v>
      </c>
      <c r="K14" s="6" t="n">
        <f aca="false">IF($I14=0,0,C14/$I14)</f>
        <v>9.81059160000085E-006</v>
      </c>
      <c r="L14" s="6" t="n">
        <f aca="false">IF($I14=0,0,D14/$I14)</f>
        <v>0.409109347574331</v>
      </c>
      <c r="M14" s="6" t="n">
        <f aca="false">IF($I14=0,0,E14/$I14)</f>
        <v>0.516789547881019</v>
      </c>
      <c r="N14" s="6" t="n">
        <f aca="false">IF($I14=0,0,F14/$I14)</f>
        <v>0.0573382158799354</v>
      </c>
    </row>
    <row r="15" customFormat="false" ht="15" hidden="false" customHeight="false" outlineLevel="0" collapsed="false">
      <c r="A15" s="4" t="s">
        <v>26</v>
      </c>
      <c r="B15" s="5" t="n">
        <f aca="false">SUMPRODUCT((Raw_Fuel_Detail!$A$3:$A$44=$A15)*(Raw_Fuel_Detail!$B$3:$B$44="Motor Car")*(Raw_Fuel_Detail!$C$1:$AL$1=B$4)*Raw_Fuel_Detail!$C$3:$AL$44)</f>
        <v>574</v>
      </c>
      <c r="C15" s="5" t="n">
        <f aca="false">SUMPRODUCT((Raw_Fuel_Detail!$A$3:$A$44=$A15)*(Raw_Fuel_Detail!$B$3:$B$44="Motor Car")*(Raw_Fuel_Detail!$C$1:$AL$1=C$4)*Raw_Fuel_Detail!$C$3:$AL$44)</f>
        <v>21</v>
      </c>
      <c r="D15" s="5" t="n">
        <f aca="false">SUMPRODUCT((Raw_Fuel_Detail!$A$3:$A$44=$A15)*(Raw_Fuel_Detail!$B$3:$B$44="Motor Car")*(Raw_Fuel_Detail!$C$1:$AL$1=D$4)*Raw_Fuel_Detail!$C$3:$AL$44)</f>
        <v>1125373</v>
      </c>
      <c r="E15" s="5" t="n">
        <f aca="false">SUMPRODUCT((Raw_Fuel_Detail!$A$3:$A$44=$A15)*(Raw_Fuel_Detail!$B$3:$B$44="Motor Car")*(Raw_Fuel_Detail!$C$1:$AL$1=E$4)*Raw_Fuel_Detail!$C$3:$AL$44)</f>
        <v>1178102</v>
      </c>
      <c r="F15" s="5" t="n">
        <f aca="false">SUMPRODUCT((Raw_Fuel_Detail!$A$3:$A$44=$A15)*(Raw_Fuel_Detail!$B$3:$B$44="Motor Car")*(Raw_Fuel_Detail!$C$1:$AL$1=F$4)*Raw_Fuel_Detail!$C$3:$AL$44)</f>
        <v>161107</v>
      </c>
      <c r="G15" s="5" t="n">
        <f aca="false">SUMPRODUCT((Raw_Fuel_Detail!$A$3:$A$44=$A15)*(Raw_Fuel_Detail!$B$3:$B$44="Motor Car")*(Raw_Fuel_Detail!$C$1:$AL$1=G$4)*Raw_Fuel_Detail!$C$3:$AL$44)</f>
        <v>38973</v>
      </c>
      <c r="H15" s="5" t="n">
        <f aca="false">SUMPRODUCT((Raw_Fuel_Detail!$A$3:$A$44=$A15)*(Raw_Fuel_Detail!$B$3:$B$44="Motor Car")*(Raw_Fuel_Detail!$C$1:$AL$1=H$4)*Raw_Fuel_Detail!$C$3:$AL$44)</f>
        <v>1294</v>
      </c>
      <c r="I15" s="5" t="n">
        <f aca="false">SUM(B15:H15)</f>
        <v>2505444</v>
      </c>
      <c r="J15" s="6" t="n">
        <f aca="false">IF($I15=0,0,B15/$I15)</f>
        <v>0.000229101109424118</v>
      </c>
      <c r="K15" s="6" t="n">
        <f aca="false">IF($I15=0,0,C15/$I15)</f>
        <v>8.38174790576042E-006</v>
      </c>
      <c r="L15" s="6" t="n">
        <f aca="false">IF($I15=0,0,D15/$I15)</f>
        <v>0.449171085045206</v>
      </c>
      <c r="M15" s="6" t="n">
        <f aca="false">IF($I15=0,0,E15/$I15)</f>
        <v>0.470216855774865</v>
      </c>
      <c r="N15" s="6" t="n">
        <f aca="false">IF($I15=0,0,F15/$I15)</f>
        <v>0.0643027742787306</v>
      </c>
    </row>
    <row r="16" customFormat="false" ht="15" hidden="false" customHeight="false" outlineLevel="0" collapsed="false">
      <c r="A16" s="4" t="s">
        <v>27</v>
      </c>
      <c r="B16" s="5" t="n">
        <f aca="false">SUMPRODUCT((Raw_Fuel_Detail!$A$3:$A$44=$A16)*(Raw_Fuel_Detail!$B$3:$B$44="Motor Car")*(Raw_Fuel_Detail!$C$1:$AL$1=B$4)*Raw_Fuel_Detail!$C$3:$AL$44)</f>
        <v>689</v>
      </c>
      <c r="C16" s="5" t="n">
        <f aca="false">SUMPRODUCT((Raw_Fuel_Detail!$A$3:$A$44=$A16)*(Raw_Fuel_Detail!$B$3:$B$44="Motor Car")*(Raw_Fuel_Detail!$C$1:$AL$1=C$4)*Raw_Fuel_Detail!$C$3:$AL$44)</f>
        <v>1904</v>
      </c>
      <c r="D16" s="5" t="n">
        <f aca="false">SUMPRODUCT((Raw_Fuel_Detail!$A$3:$A$44=$A16)*(Raw_Fuel_Detail!$B$3:$B$44="Motor Car")*(Raw_Fuel_Detail!$C$1:$AL$1=D$4)*Raw_Fuel_Detail!$C$3:$AL$44)</f>
        <v>1291125</v>
      </c>
      <c r="E16" s="5" t="n">
        <f aca="false">SUMPRODUCT((Raw_Fuel_Detail!$A$3:$A$44=$A16)*(Raw_Fuel_Detail!$B$3:$B$44="Motor Car")*(Raw_Fuel_Detail!$C$1:$AL$1=E$4)*Raw_Fuel_Detail!$C$3:$AL$44)</f>
        <v>1113663</v>
      </c>
      <c r="F16" s="5" t="n">
        <f aca="false">SUMPRODUCT((Raw_Fuel_Detail!$A$3:$A$44=$A16)*(Raw_Fuel_Detail!$B$3:$B$44="Motor Car")*(Raw_Fuel_Detail!$C$1:$AL$1=F$4)*Raw_Fuel_Detail!$C$3:$AL$44)</f>
        <v>171639</v>
      </c>
      <c r="G16" s="5" t="n">
        <f aca="false">SUMPRODUCT((Raw_Fuel_Detail!$A$3:$A$44=$A16)*(Raw_Fuel_Detail!$B$3:$B$44="Motor Car")*(Raw_Fuel_Detail!$C$1:$AL$1=G$4)*Raw_Fuel_Detail!$C$3:$AL$44)</f>
        <v>29029</v>
      </c>
      <c r="H16" s="5" t="n">
        <f aca="false">SUMPRODUCT((Raw_Fuel_Detail!$A$3:$A$44=$A16)*(Raw_Fuel_Detail!$B$3:$B$44="Motor Car")*(Raw_Fuel_Detail!$C$1:$AL$1=H$4)*Raw_Fuel_Detail!$C$3:$AL$44)</f>
        <v>2998</v>
      </c>
      <c r="I16" s="5" t="n">
        <f aca="false">SUM(B16:H16)</f>
        <v>2611047</v>
      </c>
      <c r="J16" s="6" t="n">
        <f aca="false">IF($I16=0,0,B16/$I16)</f>
        <v>0.000263878819492717</v>
      </c>
      <c r="K16" s="6" t="n">
        <f aca="false">IF($I16=0,0,C16/$I16)</f>
        <v>0.000729209393779584</v>
      </c>
      <c r="L16" s="6" t="n">
        <f aca="false">IF($I16=0,0,D16/$I16)</f>
        <v>0.494485545453605</v>
      </c>
      <c r="M16" s="6" t="n">
        <f aca="false">IF($I16=0,0,E16/$I16)</f>
        <v>0.42651970646258</v>
      </c>
      <c r="N16" s="6" t="n">
        <f aca="false">IF($I16=0,0,F16/$I16)</f>
        <v>0.0657356991275914</v>
      </c>
    </row>
    <row r="17" customFormat="false" ht="15" hidden="false" customHeight="false" outlineLevel="0" collapsed="false">
      <c r="A17" s="4" t="s">
        <v>28</v>
      </c>
      <c r="B17" s="5" t="n">
        <f aca="false">SUMPRODUCT((Raw_Fuel_Detail!$A$3:$A$44=$A17)*(Raw_Fuel_Detail!$B$3:$B$44="Motor Car")*(Raw_Fuel_Detail!$C$1:$AL$1=B$4)*Raw_Fuel_Detail!$C$3:$AL$44)</f>
        <v>637</v>
      </c>
      <c r="C17" s="5" t="n">
        <f aca="false">SUMPRODUCT((Raw_Fuel_Detail!$A$3:$A$44=$A17)*(Raw_Fuel_Detail!$B$3:$B$44="Motor Car")*(Raw_Fuel_Detail!$C$1:$AL$1=C$4)*Raw_Fuel_Detail!$C$3:$AL$44)</f>
        <v>19182</v>
      </c>
      <c r="D17" s="5" t="n">
        <f aca="false">SUMPRODUCT((Raw_Fuel_Detail!$A$3:$A$44=$A17)*(Raw_Fuel_Detail!$B$3:$B$44="Motor Car")*(Raw_Fuel_Detail!$C$1:$AL$1=D$4)*Raw_Fuel_Detail!$C$3:$AL$44)</f>
        <v>1470960</v>
      </c>
      <c r="E17" s="5" t="n">
        <f aca="false">SUMPRODUCT((Raw_Fuel_Detail!$A$3:$A$44=$A17)*(Raw_Fuel_Detail!$B$3:$B$44="Motor Car")*(Raw_Fuel_Detail!$C$1:$AL$1=E$4)*Raw_Fuel_Detail!$C$3:$AL$44)</f>
        <v>1088806</v>
      </c>
      <c r="F17" s="5" t="n">
        <f aca="false">SUMPRODUCT((Raw_Fuel_Detail!$A$3:$A$44=$A17)*(Raw_Fuel_Detail!$B$3:$B$44="Motor Car")*(Raw_Fuel_Detail!$C$1:$AL$1=F$4)*Raw_Fuel_Detail!$C$3:$AL$44)</f>
        <v>194377</v>
      </c>
      <c r="G17" s="5" t="n">
        <f aca="false">SUMPRODUCT((Raw_Fuel_Detail!$A$3:$A$44=$A17)*(Raw_Fuel_Detail!$B$3:$B$44="Motor Car")*(Raw_Fuel_Detail!$C$1:$AL$1=G$4)*Raw_Fuel_Detail!$C$3:$AL$44)</f>
        <v>28019</v>
      </c>
      <c r="H17" s="5" t="n">
        <f aca="false">SUMPRODUCT((Raw_Fuel_Detail!$A$3:$A$44=$A17)*(Raw_Fuel_Detail!$B$3:$B$44="Motor Car")*(Raw_Fuel_Detail!$C$1:$AL$1=H$4)*Raw_Fuel_Detail!$C$3:$AL$44)</f>
        <v>3773</v>
      </c>
      <c r="I17" s="5" t="n">
        <f aca="false">SUM(B17:H17)</f>
        <v>2805754</v>
      </c>
      <c r="J17" s="6" t="n">
        <f aca="false">IF($I17=0,0,B17/$I17)</f>
        <v>0.000227033446267919</v>
      </c>
      <c r="K17" s="6" t="n">
        <f aca="false">IF($I17=0,0,C17/$I17)</f>
        <v>0.0068366649392641</v>
      </c>
      <c r="L17" s="6" t="n">
        <f aca="false">IF($I17=0,0,D17/$I17)</f>
        <v>0.524265491557706</v>
      </c>
      <c r="M17" s="6" t="n">
        <f aca="false">IF($I17=0,0,E17/$I17)</f>
        <v>0.388061818676905</v>
      </c>
      <c r="N17" s="6" t="n">
        <f aca="false">IF($I17=0,0,F17/$I17)</f>
        <v>0.069277990871616</v>
      </c>
    </row>
    <row r="18" customFormat="false" ht="15" hidden="false" customHeight="false" outlineLevel="0" collapsed="false">
      <c r="A18" s="4" t="s">
        <v>29</v>
      </c>
      <c r="B18" s="5" t="n">
        <f aca="false">SUMPRODUCT((Raw_Fuel_Detail!$A$3:$A$44=$A18)*(Raw_Fuel_Detail!$B$3:$B$44="Motor Car")*(Raw_Fuel_Detail!$C$1:$AL$1=B$4)*Raw_Fuel_Detail!$C$3:$AL$44)</f>
        <v>916</v>
      </c>
      <c r="C18" s="5" t="n">
        <f aca="false">SUMPRODUCT((Raw_Fuel_Detail!$A$3:$A$44=$A18)*(Raw_Fuel_Detail!$B$3:$B$44="Motor Car")*(Raw_Fuel_Detail!$C$1:$AL$1=C$4)*Raw_Fuel_Detail!$C$3:$AL$44)</f>
        <v>54031</v>
      </c>
      <c r="D18" s="5" t="n">
        <f aca="false">SUMPRODUCT((Raw_Fuel_Detail!$A$3:$A$44=$A18)*(Raw_Fuel_Detail!$B$3:$B$44="Motor Car")*(Raw_Fuel_Detail!$C$1:$AL$1=D$4)*Raw_Fuel_Detail!$C$3:$AL$44)</f>
        <v>1686503</v>
      </c>
      <c r="E18" s="5" t="n">
        <f aca="false">SUMPRODUCT((Raw_Fuel_Detail!$A$3:$A$44=$A18)*(Raw_Fuel_Detail!$B$3:$B$44="Motor Car")*(Raw_Fuel_Detail!$C$1:$AL$1=E$4)*Raw_Fuel_Detail!$C$3:$AL$44)</f>
        <v>1144665</v>
      </c>
      <c r="F18" s="5" t="n">
        <f aca="false">SUMPRODUCT((Raw_Fuel_Detail!$A$3:$A$44=$A18)*(Raw_Fuel_Detail!$B$3:$B$44="Motor Car")*(Raw_Fuel_Detail!$C$1:$AL$1=F$4)*Raw_Fuel_Detail!$C$3:$AL$44)</f>
        <v>199549</v>
      </c>
      <c r="G18" s="5" t="n">
        <f aca="false">SUMPRODUCT((Raw_Fuel_Detail!$A$3:$A$44=$A18)*(Raw_Fuel_Detail!$B$3:$B$44="Motor Car")*(Raw_Fuel_Detail!$C$1:$AL$1=G$4)*Raw_Fuel_Detail!$C$3:$AL$44)</f>
        <v>23839</v>
      </c>
      <c r="H18" s="5" t="n">
        <f aca="false">SUMPRODUCT((Raw_Fuel_Detail!$A$3:$A$44=$A18)*(Raw_Fuel_Detail!$B$3:$B$44="Motor Car")*(Raw_Fuel_Detail!$C$1:$AL$1=H$4)*Raw_Fuel_Detail!$C$3:$AL$44)</f>
        <v>6567</v>
      </c>
      <c r="I18" s="5" t="n">
        <f aca="false">SUM(B18:H18)</f>
        <v>3116070</v>
      </c>
      <c r="J18" s="6" t="n">
        <f aca="false">IF($I18=0,0,B18/$I18)</f>
        <v>0.000293960020153591</v>
      </c>
      <c r="K18" s="6" t="n">
        <f aca="false">IF($I18=0,0,C18/$I18)</f>
        <v>0.0173394692673785</v>
      </c>
      <c r="L18" s="6" t="n">
        <f aca="false">IF($I18=0,0,D18/$I18)</f>
        <v>0.541227571909489</v>
      </c>
      <c r="M18" s="6" t="n">
        <f aca="false">IF($I18=0,0,E18/$I18)</f>
        <v>0.367342517979378</v>
      </c>
      <c r="N18" s="6" t="n">
        <f aca="false">IF($I18=0,0,F18/$I18)</f>
        <v>0.0640386769231757</v>
      </c>
    </row>
    <row r="19" customFormat="false" ht="15" hidden="false" customHeight="false" outlineLevel="0" collapsed="false">
      <c r="A19" s="4" t="s">
        <v>30</v>
      </c>
      <c r="B19" s="5" t="n">
        <f aca="false">SUMPRODUCT((Raw_Fuel_Detail!$A$3:$A$44=$A19)*(Raw_Fuel_Detail!$B$3:$B$44="Motor Car")*(Raw_Fuel_Detail!$C$1:$AL$1=B$4)*Raw_Fuel_Detail!$C$3:$AL$44)</f>
        <v>1286</v>
      </c>
      <c r="C19" s="5" t="n">
        <f aca="false">SUMPRODUCT((Raw_Fuel_Detail!$A$3:$A$44=$A19)*(Raw_Fuel_Detail!$B$3:$B$44="Motor Car")*(Raw_Fuel_Detail!$C$1:$AL$1=C$4)*Raw_Fuel_Detail!$C$3:$AL$44)</f>
        <v>92572</v>
      </c>
      <c r="D19" s="5" t="n">
        <f aca="false">SUMPRODUCT((Raw_Fuel_Detail!$A$3:$A$44=$A19)*(Raw_Fuel_Detail!$B$3:$B$44="Motor Car")*(Raw_Fuel_Detail!$C$1:$AL$1=D$4)*Raw_Fuel_Detail!$C$3:$AL$44)</f>
        <v>1709337</v>
      </c>
      <c r="E19" s="5" t="n">
        <f aca="false">SUMPRODUCT((Raw_Fuel_Detail!$A$3:$A$44=$A19)*(Raw_Fuel_Detail!$B$3:$B$44="Motor Car")*(Raw_Fuel_Detail!$C$1:$AL$1=E$4)*Raw_Fuel_Detail!$C$3:$AL$44)</f>
        <v>1056301</v>
      </c>
      <c r="F19" s="5" t="n">
        <f aca="false">SUMPRODUCT((Raw_Fuel_Detail!$A$3:$A$44=$A19)*(Raw_Fuel_Detail!$B$3:$B$44="Motor Car")*(Raw_Fuel_Detail!$C$1:$AL$1=F$4)*Raw_Fuel_Detail!$C$3:$AL$44)</f>
        <v>215939</v>
      </c>
      <c r="G19" s="5" t="n">
        <f aca="false">SUMPRODUCT((Raw_Fuel_Detail!$A$3:$A$44=$A19)*(Raw_Fuel_Detail!$B$3:$B$44="Motor Car")*(Raw_Fuel_Detail!$C$1:$AL$1=G$4)*Raw_Fuel_Detail!$C$3:$AL$44)</f>
        <v>21781</v>
      </c>
      <c r="H19" s="5" t="n">
        <f aca="false">SUMPRODUCT((Raw_Fuel_Detail!$A$3:$A$44=$A19)*(Raw_Fuel_Detail!$B$3:$B$44="Motor Car")*(Raw_Fuel_Detail!$C$1:$AL$1=H$4)*Raw_Fuel_Detail!$C$3:$AL$44)</f>
        <v>8104</v>
      </c>
      <c r="I19" s="5" t="n">
        <f aca="false">SUM(B19:H19)</f>
        <v>3105320</v>
      </c>
      <c r="J19" s="6" t="n">
        <f aca="false">IF($I19=0,0,B19/$I19)</f>
        <v>0.000414128012571973</v>
      </c>
      <c r="K19" s="6" t="n">
        <f aca="false">IF($I19=0,0,C19/$I19)</f>
        <v>0.029810776345111</v>
      </c>
      <c r="L19" s="6" t="n">
        <f aca="false">IF($I19=0,0,D19/$I19)</f>
        <v>0.550454381513016</v>
      </c>
      <c r="M19" s="6" t="n">
        <f aca="false">IF($I19=0,0,E19/$I19)</f>
        <v>0.34015850218335</v>
      </c>
      <c r="N19" s="6" t="n">
        <f aca="false">IF($I19=0,0,F19/$I19)</f>
        <v>0.069538405059704</v>
      </c>
    </row>
    <row r="20" customFormat="false" ht="15" hidden="false" customHeight="false" outlineLevel="0" collapsed="false">
      <c r="A20" s="4" t="s">
        <v>31</v>
      </c>
      <c r="B20" s="5" t="n">
        <f aca="false">SUMPRODUCT((Raw_Fuel_Detail!$A$3:$A$44=$A20)*(Raw_Fuel_Detail!$B$3:$B$44="Motor Car")*(Raw_Fuel_Detail!$C$1:$AL$1=B$4)*Raw_Fuel_Detail!$C$3:$AL$44)</f>
        <v>1219</v>
      </c>
      <c r="C20" s="5" t="n">
        <f aca="false">SUMPRODUCT((Raw_Fuel_Detail!$A$3:$A$44=$A20)*(Raw_Fuel_Detail!$B$3:$B$44="Motor Car")*(Raw_Fuel_Detail!$C$1:$AL$1=C$4)*Raw_Fuel_Detail!$C$3:$AL$44)</f>
        <v>97692</v>
      </c>
      <c r="D20" s="5" t="n">
        <f aca="false">SUMPRODUCT((Raw_Fuel_Detail!$A$3:$A$44=$A20)*(Raw_Fuel_Detail!$B$3:$B$44="Motor Car")*(Raw_Fuel_Detail!$C$1:$AL$1=D$4)*Raw_Fuel_Detail!$C$3:$AL$44)</f>
        <v>1694372</v>
      </c>
      <c r="E20" s="5" t="n">
        <f aca="false">SUMPRODUCT((Raw_Fuel_Detail!$A$3:$A$44=$A20)*(Raw_Fuel_Detail!$B$3:$B$44="Motor Car")*(Raw_Fuel_Detail!$C$1:$AL$1=E$4)*Raw_Fuel_Detail!$C$3:$AL$44)</f>
        <v>908838</v>
      </c>
      <c r="F20" s="5" t="n">
        <f aca="false">SUMPRODUCT((Raw_Fuel_Detail!$A$3:$A$44=$A20)*(Raw_Fuel_Detail!$B$3:$B$44="Motor Car")*(Raw_Fuel_Detail!$C$1:$AL$1=F$4)*Raw_Fuel_Detail!$C$3:$AL$44)</f>
        <v>205254</v>
      </c>
      <c r="G20" s="5" t="n">
        <f aca="false">SUMPRODUCT((Raw_Fuel_Detail!$A$3:$A$44=$A20)*(Raw_Fuel_Detail!$B$3:$B$44="Motor Car")*(Raw_Fuel_Detail!$C$1:$AL$1=G$4)*Raw_Fuel_Detail!$C$3:$AL$44)</f>
        <v>16643</v>
      </c>
      <c r="H20" s="5" t="n">
        <f aca="false">SUMPRODUCT((Raw_Fuel_Detail!$A$3:$A$44=$A20)*(Raw_Fuel_Detail!$B$3:$B$44="Motor Car")*(Raw_Fuel_Detail!$C$1:$AL$1=H$4)*Raw_Fuel_Detail!$C$3:$AL$44)</f>
        <v>3605</v>
      </c>
      <c r="I20" s="5" t="n">
        <f aca="false">SUM(B20:H20)</f>
        <v>2927623</v>
      </c>
      <c r="J20" s="6" t="n">
        <f aca="false">IF($I20=0,0,B20/$I20)</f>
        <v>0.000416378748219972</v>
      </c>
      <c r="K20" s="6" t="n">
        <f aca="false">IF($I20=0,0,C20/$I20)</f>
        <v>0.033369050591555</v>
      </c>
      <c r="L20" s="6" t="n">
        <f aca="false">IF($I20=0,0,D20/$I20)</f>
        <v>0.578753480212445</v>
      </c>
      <c r="M20" s="6" t="n">
        <f aca="false">IF($I20=0,0,E20/$I20)</f>
        <v>0.310435462489535</v>
      </c>
      <c r="N20" s="6" t="n">
        <f aca="false">IF($I20=0,0,F20/$I20)</f>
        <v>0.0701094369049567</v>
      </c>
    </row>
    <row r="21" customFormat="false" ht="15" hidden="false" customHeight="false" outlineLevel="0" collapsed="false">
      <c r="A21" s="4" t="s">
        <v>32</v>
      </c>
      <c r="B21" s="5" t="n">
        <f aca="false">SUMPRODUCT((Raw_Fuel_Detail!$A$3:$A$44=$A21)*(Raw_Fuel_Detail!$B$3:$B$44="Motor Car")*(Raw_Fuel_Detail!$C$1:$AL$1=B$4)*Raw_Fuel_Detail!$C$3:$AL$44)</f>
        <v>5128</v>
      </c>
      <c r="C21" s="5" t="n">
        <f aca="false">SUMPRODUCT((Raw_Fuel_Detail!$A$3:$A$44=$A21)*(Raw_Fuel_Detail!$B$3:$B$44="Motor Car")*(Raw_Fuel_Detail!$C$1:$AL$1=C$4)*Raw_Fuel_Detail!$C$3:$AL$44)</f>
        <v>107391</v>
      </c>
      <c r="D21" s="5" t="n">
        <f aca="false">SUMPRODUCT((Raw_Fuel_Detail!$A$3:$A$44=$A21)*(Raw_Fuel_Detail!$B$3:$B$44="Motor Car")*(Raw_Fuel_Detail!$C$1:$AL$1=D$4)*Raw_Fuel_Detail!$C$3:$AL$44)</f>
        <v>1868358</v>
      </c>
      <c r="E21" s="5" t="n">
        <f aca="false">SUMPRODUCT((Raw_Fuel_Detail!$A$3:$A$44=$A21)*(Raw_Fuel_Detail!$B$3:$B$44="Motor Car")*(Raw_Fuel_Detail!$C$1:$AL$1=E$4)*Raw_Fuel_Detail!$C$3:$AL$44)</f>
        <v>435103</v>
      </c>
      <c r="F21" s="5" t="n">
        <f aca="false">SUMPRODUCT((Raw_Fuel_Detail!$A$3:$A$44=$A21)*(Raw_Fuel_Detail!$B$3:$B$44="Motor Car")*(Raw_Fuel_Detail!$C$1:$AL$1=F$4)*Raw_Fuel_Detail!$C$3:$AL$44)</f>
        <v>214860</v>
      </c>
      <c r="G21" s="5" t="n">
        <f aca="false">SUMPRODUCT((Raw_Fuel_Detail!$A$3:$A$44=$A21)*(Raw_Fuel_Detail!$B$3:$B$44="Motor Car")*(Raw_Fuel_Detail!$C$1:$AL$1=G$4)*Raw_Fuel_Detail!$C$3:$AL$44)</f>
        <v>12132</v>
      </c>
      <c r="H21" s="5" t="n">
        <f aca="false">SUMPRODUCT((Raw_Fuel_Detail!$A$3:$A$44=$A21)*(Raw_Fuel_Detail!$B$3:$B$44="Motor Car")*(Raw_Fuel_Detail!$C$1:$AL$1=H$4)*Raw_Fuel_Detail!$C$3:$AL$44)</f>
        <v>144</v>
      </c>
      <c r="I21" s="5" t="n">
        <f aca="false">SUM(B21:H21)</f>
        <v>2643116</v>
      </c>
      <c r="J21" s="6" t="n">
        <f aca="false">IF($I21=0,0,B21/$I21)</f>
        <v>0.00194013429603544</v>
      </c>
      <c r="K21" s="6" t="n">
        <f aca="false">IF($I21=0,0,C21/$I21)</f>
        <v>0.0406304528442944</v>
      </c>
      <c r="L21" s="6" t="n">
        <f aca="false">IF($I21=0,0,D21/$I21)</f>
        <v>0.706877034530456</v>
      </c>
      <c r="M21" s="6" t="n">
        <f aca="false">IF($I21=0,0,E21/$I21)</f>
        <v>0.1646174439563</v>
      </c>
      <c r="N21" s="6" t="n">
        <f aca="false">IF($I21=0,0,F21/$I21)</f>
        <v>0.0812904163116564</v>
      </c>
    </row>
    <row r="22" customFormat="false" ht="15" hidden="false" customHeight="false" outlineLevel="0" collapsed="false">
      <c r="A22" s="4" t="s">
        <v>33</v>
      </c>
      <c r="B22" s="5" t="n">
        <f aca="false">SUMPRODUCT((Raw_Fuel_Detail!$A$3:$A$44=$A22)*(Raw_Fuel_Detail!$B$3:$B$44="Motor Car")*(Raw_Fuel_Detail!$C$1:$AL$1=B$4)*Raw_Fuel_Detail!$C$3:$AL$44)</f>
        <v>18857</v>
      </c>
      <c r="C22" s="5" t="n">
        <f aca="false">SUMPRODUCT((Raw_Fuel_Detail!$A$3:$A$44=$A22)*(Raw_Fuel_Detail!$B$3:$B$44="Motor Car")*(Raw_Fuel_Detail!$C$1:$AL$1=C$4)*Raw_Fuel_Detail!$C$3:$AL$44)</f>
        <v>121554</v>
      </c>
      <c r="D22" s="5" t="n">
        <f aca="false">SUMPRODUCT((Raw_Fuel_Detail!$A$3:$A$44=$A22)*(Raw_Fuel_Detail!$B$3:$B$44="Motor Car")*(Raw_Fuel_Detail!$C$1:$AL$1=D$4)*Raw_Fuel_Detail!$C$3:$AL$44)</f>
        <v>2034500</v>
      </c>
      <c r="E22" s="5" t="n">
        <f aca="false">SUMPRODUCT((Raw_Fuel_Detail!$A$3:$A$44=$A22)*(Raw_Fuel_Detail!$B$3:$B$44="Motor Car")*(Raw_Fuel_Detail!$C$1:$AL$1=E$4)*Raw_Fuel_Detail!$C$3:$AL$44)</f>
        <v>557901</v>
      </c>
      <c r="F22" s="5" t="n">
        <f aca="false">SUMPRODUCT((Raw_Fuel_Detail!$A$3:$A$44=$A22)*(Raw_Fuel_Detail!$B$3:$B$44="Motor Car")*(Raw_Fuel_Detail!$C$1:$AL$1=F$4)*Raw_Fuel_Detail!$C$3:$AL$44)</f>
        <v>276925</v>
      </c>
      <c r="G22" s="5" t="n">
        <f aca="false">SUMPRODUCT((Raw_Fuel_Detail!$A$3:$A$44=$A22)*(Raw_Fuel_Detail!$B$3:$B$44="Motor Car")*(Raw_Fuel_Detail!$C$1:$AL$1=G$4)*Raw_Fuel_Detail!$C$3:$AL$44)</f>
        <v>9812</v>
      </c>
      <c r="H22" s="5" t="n">
        <f aca="false">SUMPRODUCT((Raw_Fuel_Detail!$A$3:$A$44=$A22)*(Raw_Fuel_Detail!$B$3:$B$44="Motor Car")*(Raw_Fuel_Detail!$C$1:$AL$1=H$4)*Raw_Fuel_Detail!$C$3:$AL$44)</f>
        <v>288</v>
      </c>
      <c r="I22" s="5" t="n">
        <f aca="false">SUM(B22:H22)</f>
        <v>3019837</v>
      </c>
      <c r="J22" s="6" t="n">
        <f aca="false">IF($I22=0,0,B22/$I22)</f>
        <v>0.00624437676603075</v>
      </c>
      <c r="K22" s="6" t="n">
        <f aca="false">IF($I22=0,0,C22/$I22)</f>
        <v>0.0402518414073342</v>
      </c>
      <c r="L22" s="6" t="n">
        <f aca="false">IF($I22=0,0,D22/$I22)</f>
        <v>0.673711859282471</v>
      </c>
      <c r="M22" s="6" t="n">
        <f aca="false">IF($I22=0,0,E22/$I22)</f>
        <v>0.184745401821357</v>
      </c>
      <c r="N22" s="6" t="n">
        <f aca="false">IF($I22=0,0,F22/$I22)</f>
        <v>0.091701969344703</v>
      </c>
    </row>
    <row r="23" customFormat="false" ht="15" hidden="false" customHeight="false" outlineLevel="0" collapsed="false">
      <c r="A23" s="4" t="s">
        <v>34</v>
      </c>
      <c r="B23" s="5" t="n">
        <f aca="false">SUMPRODUCT((Raw_Fuel_Detail!$A$3:$A$44=$A23)*(Raw_Fuel_Detail!$B$3:$B$44="Motor Car")*(Raw_Fuel_Detail!$C$1:$AL$1=B$4)*Raw_Fuel_Detail!$C$3:$AL$44)</f>
        <v>43794</v>
      </c>
      <c r="C23" s="5" t="n">
        <f aca="false">SUMPRODUCT((Raw_Fuel_Detail!$A$3:$A$44=$A23)*(Raw_Fuel_Detail!$B$3:$B$44="Motor Car")*(Raw_Fuel_Detail!$C$1:$AL$1=C$4)*Raw_Fuel_Detail!$C$3:$AL$44)</f>
        <v>261315</v>
      </c>
      <c r="D23" s="5" t="n">
        <f aca="false">SUMPRODUCT((Raw_Fuel_Detail!$A$3:$A$44=$A23)*(Raw_Fuel_Detail!$B$3:$B$44="Motor Car")*(Raw_Fuel_Detail!$C$1:$AL$1=D$4)*Raw_Fuel_Detail!$C$3:$AL$44)</f>
        <v>2266252</v>
      </c>
      <c r="E23" s="5" t="n">
        <f aca="false">SUMPRODUCT((Raw_Fuel_Detail!$A$3:$A$44=$A23)*(Raw_Fuel_Detail!$B$3:$B$44="Motor Car")*(Raw_Fuel_Detail!$C$1:$AL$1=E$4)*Raw_Fuel_Detail!$C$3:$AL$44)</f>
        <v>689943</v>
      </c>
      <c r="F23" s="5" t="n">
        <f aca="false">SUMPRODUCT((Raw_Fuel_Detail!$A$3:$A$44=$A23)*(Raw_Fuel_Detail!$B$3:$B$44="Motor Car")*(Raw_Fuel_Detail!$C$1:$AL$1=F$4)*Raw_Fuel_Detail!$C$3:$AL$44)</f>
        <v>369033</v>
      </c>
      <c r="G23" s="5" t="n">
        <f aca="false">SUMPRODUCT((Raw_Fuel_Detail!$A$3:$A$44=$A23)*(Raw_Fuel_Detail!$B$3:$B$44="Motor Car")*(Raw_Fuel_Detail!$C$1:$AL$1=G$4)*Raw_Fuel_Detail!$C$3:$AL$44)</f>
        <v>8735</v>
      </c>
      <c r="H23" s="5" t="n">
        <f aca="false">SUMPRODUCT((Raw_Fuel_Detail!$A$3:$A$44=$A23)*(Raw_Fuel_Detail!$B$3:$B$44="Motor Car")*(Raw_Fuel_Detail!$C$1:$AL$1=H$4)*Raw_Fuel_Detail!$C$3:$AL$44)</f>
        <v>97</v>
      </c>
      <c r="I23" s="5" t="n">
        <f aca="false">SUM(B23:H23)</f>
        <v>3639169</v>
      </c>
      <c r="J23" s="6" t="n">
        <f aca="false">IF($I23=0,0,B23/$I23)</f>
        <v>0.0120340660189181</v>
      </c>
      <c r="K23" s="6" t="n">
        <f aca="false">IF($I23=0,0,C23/$I23)</f>
        <v>0.0718062282900299</v>
      </c>
      <c r="L23" s="6" t="n">
        <f aca="false">IF($I23=0,0,D23/$I23)</f>
        <v>0.622738872528316</v>
      </c>
      <c r="M23" s="6" t="n">
        <f aca="false">IF($I23=0,0,E23/$I23)</f>
        <v>0.189588062549445</v>
      </c>
      <c r="N23" s="6" t="n">
        <f aca="false">IF($I23=0,0,F23/$I23)</f>
        <v>0.101405842927328</v>
      </c>
    </row>
    <row r="24" customFormat="false" ht="15" hidden="false" customHeight="false" outlineLevel="0" collapsed="false">
      <c r="A24" s="4" t="s">
        <v>35</v>
      </c>
      <c r="B24" s="5" t="n">
        <f aca="false">SUMPRODUCT((Raw_Fuel_Detail!$A$3:$A$44=$A24)*(Raw_Fuel_Detail!$B$3:$B$44="Motor Car")*(Raw_Fuel_Detail!$C$1:$AL$1=B$4)*Raw_Fuel_Detail!$C$3:$AL$44)</f>
        <v>86346</v>
      </c>
      <c r="C24" s="5" t="n">
        <f aca="false">SUMPRODUCT((Raw_Fuel_Detail!$A$3:$A$44=$A24)*(Raw_Fuel_Detail!$B$3:$B$44="Motor Car")*(Raw_Fuel_Detail!$C$1:$AL$1=C$4)*Raw_Fuel_Detail!$C$3:$AL$44)</f>
        <v>313805</v>
      </c>
      <c r="D24" s="5" t="n">
        <f aca="false">SUMPRODUCT((Raw_Fuel_Detail!$A$3:$A$44=$A24)*(Raw_Fuel_Detail!$B$3:$B$44="Motor Car")*(Raw_Fuel_Detail!$C$1:$AL$1=D$4)*Raw_Fuel_Detail!$C$3:$AL$44)</f>
        <v>2249545</v>
      </c>
      <c r="E24" s="5" t="n">
        <f aca="false">SUMPRODUCT((Raw_Fuel_Detail!$A$3:$A$44=$A24)*(Raw_Fuel_Detail!$B$3:$B$44="Motor Car")*(Raw_Fuel_Detail!$C$1:$AL$1=E$4)*Raw_Fuel_Detail!$C$3:$AL$44)</f>
        <v>684284</v>
      </c>
      <c r="F24" s="5" t="n">
        <f aca="false">SUMPRODUCT((Raw_Fuel_Detail!$A$3:$A$44=$A24)*(Raw_Fuel_Detail!$B$3:$B$44="Motor Car")*(Raw_Fuel_Detail!$C$1:$AL$1=F$4)*Raw_Fuel_Detail!$C$3:$AL$44)</f>
        <v>476879</v>
      </c>
      <c r="G24" s="5" t="n">
        <f aca="false">SUMPRODUCT((Raw_Fuel_Detail!$A$3:$A$44=$A24)*(Raw_Fuel_Detail!$B$3:$B$44="Motor Car")*(Raw_Fuel_Detail!$C$1:$AL$1=G$4)*Raw_Fuel_Detail!$C$3:$AL$44)</f>
        <v>6370</v>
      </c>
      <c r="H24" s="5" t="n">
        <f aca="false">SUMPRODUCT((Raw_Fuel_Detail!$A$3:$A$44=$A24)*(Raw_Fuel_Detail!$B$3:$B$44="Motor Car")*(Raw_Fuel_Detail!$C$1:$AL$1=H$4)*Raw_Fuel_Detail!$C$3:$AL$44)</f>
        <v>300</v>
      </c>
      <c r="I24" s="5" t="n">
        <f aca="false">SUM(B24:H24)</f>
        <v>3817529</v>
      </c>
      <c r="J24" s="6" t="n">
        <f aca="false">IF($I24=0,0,B24/$I24)</f>
        <v>0.0226182957614729</v>
      </c>
      <c r="K24" s="6" t="n">
        <f aca="false">IF($I24=0,0,C24/$I24)</f>
        <v>0.0822010782367338</v>
      </c>
      <c r="L24" s="6" t="n">
        <f aca="false">IF($I24=0,0,D24/$I24)</f>
        <v>0.589267298296883</v>
      </c>
      <c r="M24" s="6" t="n">
        <f aca="false">IF($I24=0,0,E24/$I24)</f>
        <v>0.179247885215803</v>
      </c>
      <c r="N24" s="6" t="n">
        <f aca="false">IF($I24=0,0,F24/$I24)</f>
        <v>0.124918238997006</v>
      </c>
    </row>
    <row r="25" customFormat="false" ht="15" hidden="false" customHeight="false" outlineLevel="0" collapsed="false">
      <c r="A25" s="4" t="s">
        <v>36</v>
      </c>
      <c r="B25" s="5" t="n">
        <f aca="false">SUMPRODUCT((Raw_Fuel_Detail!$A$3:$A$44=$A25)*(Raw_Fuel_Detail!$B$3:$B$44="Motor Car")*(Raw_Fuel_Detail!$C$1:$AL$1=B$4)*Raw_Fuel_Detail!$C$3:$AL$44)</f>
        <v>107497</v>
      </c>
      <c r="C25" s="5" t="n">
        <f aca="false">SUMPRODUCT((Raw_Fuel_Detail!$A$3:$A$44=$A25)*(Raw_Fuel_Detail!$B$3:$B$44="Motor Car")*(Raw_Fuel_Detail!$C$1:$AL$1=C$4)*Raw_Fuel_Detail!$C$3:$AL$44)</f>
        <v>348989</v>
      </c>
      <c r="D25" s="5" t="n">
        <f aca="false">SUMPRODUCT((Raw_Fuel_Detail!$A$3:$A$44=$A25)*(Raw_Fuel_Detail!$B$3:$B$44="Motor Car")*(Raw_Fuel_Detail!$C$1:$AL$1=D$4)*Raw_Fuel_Detail!$C$3:$AL$44)</f>
        <v>2141947</v>
      </c>
      <c r="E25" s="5" t="n">
        <f aca="false">SUMPRODUCT((Raw_Fuel_Detail!$A$3:$A$44=$A25)*(Raw_Fuel_Detail!$B$3:$B$44="Motor Car")*(Raw_Fuel_Detail!$C$1:$AL$1=E$4)*Raw_Fuel_Detail!$C$3:$AL$44)</f>
        <v>736112</v>
      </c>
      <c r="F25" s="5" t="n">
        <f aca="false">SUMPRODUCT((Raw_Fuel_Detail!$A$3:$A$44=$A25)*(Raw_Fuel_Detail!$B$3:$B$44="Motor Car")*(Raw_Fuel_Detail!$C$1:$AL$1=F$4)*Raw_Fuel_Detail!$C$3:$AL$44)</f>
        <v>627297</v>
      </c>
      <c r="G25" s="5" t="n">
        <f aca="false">SUMPRODUCT((Raw_Fuel_Detail!$A$3:$A$44=$A25)*(Raw_Fuel_Detail!$B$3:$B$44="Motor Car")*(Raw_Fuel_Detail!$C$1:$AL$1=G$4)*Raw_Fuel_Detail!$C$3:$AL$44)</f>
        <v>9612</v>
      </c>
      <c r="H25" s="5" t="n">
        <f aca="false">SUMPRODUCT((Raw_Fuel_Detail!$A$3:$A$44=$A25)*(Raw_Fuel_Detail!$B$3:$B$44="Motor Car")*(Raw_Fuel_Detail!$C$1:$AL$1=H$4)*Raw_Fuel_Detail!$C$3:$AL$44)</f>
        <v>221</v>
      </c>
      <c r="I25" s="5" t="n">
        <f aca="false">SUM(B25:H25)</f>
        <v>3971675</v>
      </c>
      <c r="J25" s="6" t="n">
        <f aca="false">IF($I25=0,0,B25/$I25)</f>
        <v>0.0270659104785764</v>
      </c>
      <c r="K25" s="6" t="n">
        <f aca="false">IF($I25=0,0,C25/$I25)</f>
        <v>0.0878694757249775</v>
      </c>
      <c r="L25" s="6" t="n">
        <f aca="false">IF($I25=0,0,D25/$I25)</f>
        <v>0.53930570854866</v>
      </c>
      <c r="M25" s="6" t="n">
        <f aca="false">IF($I25=0,0,E25/$I25)</f>
        <v>0.185340442004948</v>
      </c>
      <c r="N25" s="6" t="n">
        <f aca="false">IF($I25=0,0,F25/$I25)</f>
        <v>0.15794268161418</v>
      </c>
    </row>
    <row r="26" customFormat="false" ht="15" hidden="false" customHeight="false" outlineLevel="0" collapsed="false">
      <c r="A26" s="7" t="s">
        <v>37</v>
      </c>
      <c r="B26" s="8" t="n">
        <f aca="false">SUM(B5:B25)</f>
        <v>270341</v>
      </c>
      <c r="C26" s="8" t="n">
        <f aca="false">SUM(C5:C25)</f>
        <v>1418709</v>
      </c>
      <c r="D26" s="8" t="n">
        <f aca="false">SUM(D5:D25)</f>
        <v>28151225</v>
      </c>
      <c r="E26" s="8" t="n">
        <f aca="false">SUM(E5:E25)</f>
        <v>16305108</v>
      </c>
      <c r="F26" s="8" t="n">
        <f aca="false">SUM(F5:F25)</f>
        <v>4289617</v>
      </c>
      <c r="G26" s="8" t="n">
        <f aca="false">SUM(G5:G25)</f>
        <v>900113</v>
      </c>
      <c r="H26" s="8" t="n">
        <f aca="false">SUM(H5:H25)</f>
        <v>51720</v>
      </c>
      <c r="I26" s="8" t="n">
        <f aca="false">SUM(I5:I25)</f>
        <v>51386833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f aca="false">SUMPRODUCT((Raw_Fuel_Detail!$A$3:$A$44=$A5)*(Raw_Fuel_Detail!$B$3:$B$44="Motor Cab")*(Raw_Fuel_Detail!$C$1:$AL$1=B$4)*Raw_Fuel_Detail!$C$3:$AL$44)</f>
        <v>1</v>
      </c>
      <c r="C5" s="5" t="n">
        <f aca="false">SUMPRODUCT((Raw_Fuel_Detail!$A$3:$A$44=$A5)*(Raw_Fuel_Detail!$B$3:$B$44="Motor Cab")*(Raw_Fuel_Detail!$C$1:$AL$1=C$4)*Raw_Fuel_Detail!$C$3:$AL$44)</f>
        <v>0</v>
      </c>
      <c r="D5" s="5" t="n">
        <f aca="false">SUMPRODUCT((Raw_Fuel_Detail!$A$3:$A$44=$A5)*(Raw_Fuel_Detail!$B$3:$B$44="Motor Cab")*(Raw_Fuel_Detail!$C$1:$AL$1=D$4)*Raw_Fuel_Detail!$C$3:$AL$44)</f>
        <v>4913</v>
      </c>
      <c r="E5" s="5" t="n">
        <f aca="false">SUMPRODUCT((Raw_Fuel_Detail!$A$3:$A$44=$A5)*(Raw_Fuel_Detail!$B$3:$B$44="Motor Cab")*(Raw_Fuel_Detail!$C$1:$AL$1=E$4)*Raw_Fuel_Detail!$C$3:$AL$44)</f>
        <v>24612</v>
      </c>
      <c r="F5" s="5" t="n">
        <f aca="false">SUMPRODUCT((Raw_Fuel_Detail!$A$3:$A$44=$A5)*(Raw_Fuel_Detail!$B$3:$B$44="Motor Cab")*(Raw_Fuel_Detail!$C$1:$AL$1=F$4)*Raw_Fuel_Detail!$C$3:$AL$44)</f>
        <v>1094</v>
      </c>
      <c r="G5" s="5" t="n">
        <f aca="false">SUMPRODUCT((Raw_Fuel_Detail!$A$3:$A$44=$A5)*(Raw_Fuel_Detail!$B$3:$B$44="Motor Cab")*(Raw_Fuel_Detail!$C$1:$AL$1=G$4)*Raw_Fuel_Detail!$C$3:$AL$44)</f>
        <v>1084</v>
      </c>
      <c r="H5" s="5" t="n">
        <f aca="false">SUMPRODUCT((Raw_Fuel_Detail!$A$3:$A$44=$A5)*(Raw_Fuel_Detail!$B$3:$B$44="Motor Cab")*(Raw_Fuel_Detail!$C$1:$AL$1=H$4)*Raw_Fuel_Detail!$C$3:$AL$44)</f>
        <v>216</v>
      </c>
      <c r="I5" s="5" t="n">
        <f aca="false">SUM(B5:H5)</f>
        <v>31920</v>
      </c>
      <c r="J5" s="6" t="n">
        <f aca="false">IF($I5=0,0,B5/$I5)</f>
        <v>3.1328320802005E-005</v>
      </c>
      <c r="K5" s="6" t="n">
        <f aca="false">IF($I5=0,0,C5/$I5)</f>
        <v>0</v>
      </c>
      <c r="L5" s="6" t="n">
        <f aca="false">IF($I5=0,0,D5/$I5)</f>
        <v>0.153916040100251</v>
      </c>
      <c r="M5" s="6" t="n">
        <f aca="false">IF($I5=0,0,E5/$I5)</f>
        <v>0.771052631578947</v>
      </c>
      <c r="N5" s="6" t="n">
        <f aca="false">IF($I5=0,0,F5/$I5)</f>
        <v>0.0342731829573935</v>
      </c>
    </row>
    <row r="6" customFormat="false" ht="15" hidden="false" customHeight="false" outlineLevel="0" collapsed="false">
      <c r="A6" s="4" t="s">
        <v>17</v>
      </c>
      <c r="B6" s="5" t="n">
        <f aca="false">SUMPRODUCT((Raw_Fuel_Detail!$A$3:$A$44=$A6)*(Raw_Fuel_Detail!$B$3:$B$44="Motor Cab")*(Raw_Fuel_Detail!$C$1:$AL$1=B$4)*Raw_Fuel_Detail!$C$3:$AL$44)</f>
        <v>2</v>
      </c>
      <c r="C6" s="5" t="n">
        <f aca="false">SUMPRODUCT((Raw_Fuel_Detail!$A$3:$A$44=$A6)*(Raw_Fuel_Detail!$B$3:$B$44="Motor Cab")*(Raw_Fuel_Detail!$C$1:$AL$1=C$4)*Raw_Fuel_Detail!$C$3:$AL$44)</f>
        <v>0</v>
      </c>
      <c r="D6" s="5" t="n">
        <f aca="false">SUMPRODUCT((Raw_Fuel_Detail!$A$3:$A$44=$A6)*(Raw_Fuel_Detail!$B$3:$B$44="Motor Cab")*(Raw_Fuel_Detail!$C$1:$AL$1=D$4)*Raw_Fuel_Detail!$C$3:$AL$44)</f>
        <v>4619</v>
      </c>
      <c r="E6" s="5" t="n">
        <f aca="false">SUMPRODUCT((Raw_Fuel_Detail!$A$3:$A$44=$A6)*(Raw_Fuel_Detail!$B$3:$B$44="Motor Cab")*(Raw_Fuel_Detail!$C$1:$AL$1=E$4)*Raw_Fuel_Detail!$C$3:$AL$44)</f>
        <v>32540</v>
      </c>
      <c r="F6" s="5" t="n">
        <f aca="false">SUMPRODUCT((Raw_Fuel_Detail!$A$3:$A$44=$A6)*(Raw_Fuel_Detail!$B$3:$B$44="Motor Cab")*(Raw_Fuel_Detail!$C$1:$AL$1=F$4)*Raw_Fuel_Detail!$C$3:$AL$44)</f>
        <v>507</v>
      </c>
      <c r="G6" s="5" t="n">
        <f aca="false">SUMPRODUCT((Raw_Fuel_Detail!$A$3:$A$44=$A6)*(Raw_Fuel_Detail!$B$3:$B$44="Motor Cab")*(Raw_Fuel_Detail!$C$1:$AL$1=G$4)*Raw_Fuel_Detail!$C$3:$AL$44)</f>
        <v>1589</v>
      </c>
      <c r="H6" s="5" t="n">
        <f aca="false">SUMPRODUCT((Raw_Fuel_Detail!$A$3:$A$44=$A6)*(Raw_Fuel_Detail!$B$3:$B$44="Motor Cab")*(Raw_Fuel_Detail!$C$1:$AL$1=H$4)*Raw_Fuel_Detail!$C$3:$AL$44)</f>
        <v>225</v>
      </c>
      <c r="I6" s="5" t="n">
        <f aca="false">SUM(B6:H6)</f>
        <v>39482</v>
      </c>
      <c r="J6" s="6" t="n">
        <f aca="false">IF($I6=0,0,B6/$I6)</f>
        <v>5.06559951370245E-005</v>
      </c>
      <c r="K6" s="6" t="n">
        <f aca="false">IF($I6=0,0,C6/$I6)</f>
        <v>0</v>
      </c>
      <c r="L6" s="6" t="n">
        <f aca="false">IF($I6=0,0,D6/$I6)</f>
        <v>0.116990020768958</v>
      </c>
      <c r="M6" s="6" t="n">
        <f aca="false">IF($I6=0,0,E6/$I6)</f>
        <v>0.824173040879388</v>
      </c>
      <c r="N6" s="6" t="n">
        <f aca="false">IF($I6=0,0,F6/$I6)</f>
        <v>0.0128412947672357</v>
      </c>
    </row>
    <row r="7" customFormat="false" ht="15" hidden="false" customHeight="false" outlineLevel="0" collapsed="false">
      <c r="A7" s="4" t="s">
        <v>18</v>
      </c>
      <c r="B7" s="5" t="n">
        <f aca="false">SUMPRODUCT((Raw_Fuel_Detail!$A$3:$A$44=$A7)*(Raw_Fuel_Detail!$B$3:$B$44="Motor Cab")*(Raw_Fuel_Detail!$C$1:$AL$1=B$4)*Raw_Fuel_Detail!$C$3:$AL$44)</f>
        <v>3</v>
      </c>
      <c r="C7" s="5" t="n">
        <f aca="false">SUMPRODUCT((Raw_Fuel_Detail!$A$3:$A$44=$A7)*(Raw_Fuel_Detail!$B$3:$B$44="Motor Cab")*(Raw_Fuel_Detail!$C$1:$AL$1=C$4)*Raw_Fuel_Detail!$C$3:$AL$44)</f>
        <v>1</v>
      </c>
      <c r="D7" s="5" t="n">
        <f aca="false">SUMPRODUCT((Raw_Fuel_Detail!$A$3:$A$44=$A7)*(Raw_Fuel_Detail!$B$3:$B$44="Motor Cab")*(Raw_Fuel_Detail!$C$1:$AL$1=D$4)*Raw_Fuel_Detail!$C$3:$AL$44)</f>
        <v>5305</v>
      </c>
      <c r="E7" s="5" t="n">
        <f aca="false">SUMPRODUCT((Raw_Fuel_Detail!$A$3:$A$44=$A7)*(Raw_Fuel_Detail!$B$3:$B$44="Motor Cab")*(Raw_Fuel_Detail!$C$1:$AL$1=E$4)*Raw_Fuel_Detail!$C$3:$AL$44)</f>
        <v>42110</v>
      </c>
      <c r="F7" s="5" t="n">
        <f aca="false">SUMPRODUCT((Raw_Fuel_Detail!$A$3:$A$44=$A7)*(Raw_Fuel_Detail!$B$3:$B$44="Motor Cab")*(Raw_Fuel_Detail!$C$1:$AL$1=F$4)*Raw_Fuel_Detail!$C$3:$AL$44)</f>
        <v>1444</v>
      </c>
      <c r="G7" s="5" t="n">
        <f aca="false">SUMPRODUCT((Raw_Fuel_Detail!$A$3:$A$44=$A7)*(Raw_Fuel_Detail!$B$3:$B$44="Motor Cab")*(Raw_Fuel_Detail!$C$1:$AL$1=G$4)*Raw_Fuel_Detail!$C$3:$AL$44)</f>
        <v>2428</v>
      </c>
      <c r="H7" s="5" t="n">
        <f aca="false">SUMPRODUCT((Raw_Fuel_Detail!$A$3:$A$44=$A7)*(Raw_Fuel_Detail!$B$3:$B$44="Motor Cab")*(Raw_Fuel_Detail!$C$1:$AL$1=H$4)*Raw_Fuel_Detail!$C$3:$AL$44)</f>
        <v>324</v>
      </c>
      <c r="I7" s="5" t="n">
        <f aca="false">SUM(B7:H7)</f>
        <v>51615</v>
      </c>
      <c r="J7" s="6" t="n">
        <f aca="false">IF($I7=0,0,B7/$I7)</f>
        <v>5.81226387678001E-005</v>
      </c>
      <c r="K7" s="6" t="n">
        <f aca="false">IF($I7=0,0,C7/$I7)</f>
        <v>1.93742129226E-005</v>
      </c>
      <c r="L7" s="6" t="n">
        <f aca="false">IF($I7=0,0,D7/$I7)</f>
        <v>0.102780199554393</v>
      </c>
      <c r="M7" s="6" t="n">
        <f aca="false">IF($I7=0,0,E7/$I7)</f>
        <v>0.815848106170687</v>
      </c>
      <c r="N7" s="6" t="n">
        <f aca="false">IF($I7=0,0,F7/$I7)</f>
        <v>0.0279763634602344</v>
      </c>
    </row>
    <row r="8" customFormat="false" ht="15" hidden="false" customHeight="false" outlineLevel="0" collapsed="false">
      <c r="A8" s="4" t="s">
        <v>19</v>
      </c>
      <c r="B8" s="5" t="n">
        <f aca="false">SUMPRODUCT((Raw_Fuel_Detail!$A$3:$A$44=$A8)*(Raw_Fuel_Detail!$B$3:$B$44="Motor Cab")*(Raw_Fuel_Detail!$C$1:$AL$1=B$4)*Raw_Fuel_Detail!$C$3:$AL$44)</f>
        <v>5</v>
      </c>
      <c r="C8" s="5" t="n">
        <f aca="false">SUMPRODUCT((Raw_Fuel_Detail!$A$3:$A$44=$A8)*(Raw_Fuel_Detail!$B$3:$B$44="Motor Cab")*(Raw_Fuel_Detail!$C$1:$AL$1=C$4)*Raw_Fuel_Detail!$C$3:$AL$44)</f>
        <v>0</v>
      </c>
      <c r="D8" s="5" t="n">
        <f aca="false">SUMPRODUCT((Raw_Fuel_Detail!$A$3:$A$44=$A8)*(Raw_Fuel_Detail!$B$3:$B$44="Motor Cab")*(Raw_Fuel_Detail!$C$1:$AL$1=D$4)*Raw_Fuel_Detail!$C$3:$AL$44)</f>
        <v>5120</v>
      </c>
      <c r="E8" s="5" t="n">
        <f aca="false">SUMPRODUCT((Raw_Fuel_Detail!$A$3:$A$44=$A8)*(Raw_Fuel_Detail!$B$3:$B$44="Motor Cab")*(Raw_Fuel_Detail!$C$1:$AL$1=E$4)*Raw_Fuel_Detail!$C$3:$AL$44)</f>
        <v>48922</v>
      </c>
      <c r="F8" s="5" t="n">
        <f aca="false">SUMPRODUCT((Raw_Fuel_Detail!$A$3:$A$44=$A8)*(Raw_Fuel_Detail!$B$3:$B$44="Motor Cab")*(Raw_Fuel_Detail!$C$1:$AL$1=F$4)*Raw_Fuel_Detail!$C$3:$AL$44)</f>
        <v>3159</v>
      </c>
      <c r="G8" s="5" t="n">
        <f aca="false">SUMPRODUCT((Raw_Fuel_Detail!$A$3:$A$44=$A8)*(Raw_Fuel_Detail!$B$3:$B$44="Motor Cab")*(Raw_Fuel_Detail!$C$1:$AL$1=G$4)*Raw_Fuel_Detail!$C$3:$AL$44)</f>
        <v>2341</v>
      </c>
      <c r="H8" s="5" t="n">
        <f aca="false">SUMPRODUCT((Raw_Fuel_Detail!$A$3:$A$44=$A8)*(Raw_Fuel_Detail!$B$3:$B$44="Motor Cab")*(Raw_Fuel_Detail!$C$1:$AL$1=H$4)*Raw_Fuel_Detail!$C$3:$AL$44)</f>
        <v>322</v>
      </c>
      <c r="I8" s="5" t="n">
        <f aca="false">SUM(B8:H8)</f>
        <v>59869</v>
      </c>
      <c r="J8" s="6" t="n">
        <f aca="false">IF($I8=0,0,B8/$I8)</f>
        <v>8.3515675892365E-005</v>
      </c>
      <c r="K8" s="6" t="n">
        <f aca="false">IF($I8=0,0,C8/$I8)</f>
        <v>0</v>
      </c>
      <c r="L8" s="6" t="n">
        <f aca="false">IF($I8=0,0,D8/$I8)</f>
        <v>0.0855200521137818</v>
      </c>
      <c r="M8" s="6" t="n">
        <f aca="false">IF($I8=0,0,E8/$I8)</f>
        <v>0.817150779201256</v>
      </c>
      <c r="N8" s="6" t="n">
        <f aca="false">IF($I8=0,0,F8/$I8)</f>
        <v>0.0527652040287962</v>
      </c>
    </row>
    <row r="9" customFormat="false" ht="15" hidden="false" customHeight="false" outlineLevel="0" collapsed="false">
      <c r="A9" s="4" t="s">
        <v>20</v>
      </c>
      <c r="B9" s="5" t="n">
        <f aca="false">SUMPRODUCT((Raw_Fuel_Detail!$A$3:$A$44=$A9)*(Raw_Fuel_Detail!$B$3:$B$44="Motor Cab")*(Raw_Fuel_Detail!$C$1:$AL$1=B$4)*Raw_Fuel_Detail!$C$3:$AL$44)</f>
        <v>4</v>
      </c>
      <c r="C9" s="5" t="n">
        <f aca="false">SUMPRODUCT((Raw_Fuel_Detail!$A$3:$A$44=$A9)*(Raw_Fuel_Detail!$B$3:$B$44="Motor Cab")*(Raw_Fuel_Detail!$C$1:$AL$1=C$4)*Raw_Fuel_Detail!$C$3:$AL$44)</f>
        <v>0</v>
      </c>
      <c r="D9" s="5" t="n">
        <f aca="false">SUMPRODUCT((Raw_Fuel_Detail!$A$3:$A$44=$A9)*(Raw_Fuel_Detail!$B$3:$B$44="Motor Cab")*(Raw_Fuel_Detail!$C$1:$AL$1=D$4)*Raw_Fuel_Detail!$C$3:$AL$44)</f>
        <v>3539</v>
      </c>
      <c r="E9" s="5" t="n">
        <f aca="false">SUMPRODUCT((Raw_Fuel_Detail!$A$3:$A$44=$A9)*(Raw_Fuel_Detail!$B$3:$B$44="Motor Cab")*(Raw_Fuel_Detail!$C$1:$AL$1=E$4)*Raw_Fuel_Detail!$C$3:$AL$44)</f>
        <v>49474</v>
      </c>
      <c r="F9" s="5" t="n">
        <f aca="false">SUMPRODUCT((Raw_Fuel_Detail!$A$3:$A$44=$A9)*(Raw_Fuel_Detail!$B$3:$B$44="Motor Cab")*(Raw_Fuel_Detail!$C$1:$AL$1=F$4)*Raw_Fuel_Detail!$C$3:$AL$44)</f>
        <v>3793</v>
      </c>
      <c r="G9" s="5" t="n">
        <f aca="false">SUMPRODUCT((Raw_Fuel_Detail!$A$3:$A$44=$A9)*(Raw_Fuel_Detail!$B$3:$B$44="Motor Cab")*(Raw_Fuel_Detail!$C$1:$AL$1=G$4)*Raw_Fuel_Detail!$C$3:$AL$44)</f>
        <v>1383</v>
      </c>
      <c r="H9" s="5" t="n">
        <f aca="false">SUMPRODUCT((Raw_Fuel_Detail!$A$3:$A$44=$A9)*(Raw_Fuel_Detail!$B$3:$B$44="Motor Cab")*(Raw_Fuel_Detail!$C$1:$AL$1=H$4)*Raw_Fuel_Detail!$C$3:$AL$44)</f>
        <v>368</v>
      </c>
      <c r="I9" s="5" t="n">
        <f aca="false">SUM(B9:H9)</f>
        <v>58561</v>
      </c>
      <c r="J9" s="6" t="n">
        <f aca="false">IF($I9=0,0,B9/$I9)</f>
        <v>6.83048445210977E-005</v>
      </c>
      <c r="K9" s="6" t="n">
        <f aca="false">IF($I9=0,0,C9/$I9)</f>
        <v>0</v>
      </c>
      <c r="L9" s="6" t="n">
        <f aca="false">IF($I9=0,0,D9/$I9)</f>
        <v>0.0604327111900412</v>
      </c>
      <c r="M9" s="6" t="n">
        <f aca="false">IF($I9=0,0,E9/$I9)</f>
        <v>0.844828469459196</v>
      </c>
      <c r="N9" s="6" t="n">
        <f aca="false">IF($I9=0,0,F9/$I9)</f>
        <v>0.0647700688171309</v>
      </c>
    </row>
    <row r="10" customFormat="false" ht="15" hidden="false" customHeight="false" outlineLevel="0" collapsed="false">
      <c r="A10" s="4" t="s">
        <v>21</v>
      </c>
      <c r="B10" s="5" t="n">
        <f aca="false">SUMPRODUCT((Raw_Fuel_Detail!$A$3:$A$44=$A10)*(Raw_Fuel_Detail!$B$3:$B$44="Motor Cab")*(Raw_Fuel_Detail!$C$1:$AL$1=B$4)*Raw_Fuel_Detail!$C$3:$AL$44)</f>
        <v>5</v>
      </c>
      <c r="C10" s="5" t="n">
        <f aca="false">SUMPRODUCT((Raw_Fuel_Detail!$A$3:$A$44=$A10)*(Raw_Fuel_Detail!$B$3:$B$44="Motor Cab")*(Raw_Fuel_Detail!$C$1:$AL$1=C$4)*Raw_Fuel_Detail!$C$3:$AL$44)</f>
        <v>1</v>
      </c>
      <c r="D10" s="5" t="n">
        <f aca="false">SUMPRODUCT((Raw_Fuel_Detail!$A$3:$A$44=$A10)*(Raw_Fuel_Detail!$B$3:$B$44="Motor Cab")*(Raw_Fuel_Detail!$C$1:$AL$1=D$4)*Raw_Fuel_Detail!$C$3:$AL$44)</f>
        <v>4224</v>
      </c>
      <c r="E10" s="5" t="n">
        <f aca="false">SUMPRODUCT((Raw_Fuel_Detail!$A$3:$A$44=$A10)*(Raw_Fuel_Detail!$B$3:$B$44="Motor Cab")*(Raw_Fuel_Detail!$C$1:$AL$1=E$4)*Raw_Fuel_Detail!$C$3:$AL$44)</f>
        <v>64400</v>
      </c>
      <c r="F10" s="5" t="n">
        <f aca="false">SUMPRODUCT((Raw_Fuel_Detail!$A$3:$A$44=$A10)*(Raw_Fuel_Detail!$B$3:$B$44="Motor Cab")*(Raw_Fuel_Detail!$C$1:$AL$1=F$4)*Raw_Fuel_Detail!$C$3:$AL$44)</f>
        <v>7329</v>
      </c>
      <c r="G10" s="5" t="n">
        <f aca="false">SUMPRODUCT((Raw_Fuel_Detail!$A$3:$A$44=$A10)*(Raw_Fuel_Detail!$B$3:$B$44="Motor Cab")*(Raw_Fuel_Detail!$C$1:$AL$1=G$4)*Raw_Fuel_Detail!$C$3:$AL$44)</f>
        <v>1480</v>
      </c>
      <c r="H10" s="5" t="n">
        <f aca="false">SUMPRODUCT((Raw_Fuel_Detail!$A$3:$A$44=$A10)*(Raw_Fuel_Detail!$B$3:$B$44="Motor Cab")*(Raw_Fuel_Detail!$C$1:$AL$1=H$4)*Raw_Fuel_Detail!$C$3:$AL$44)</f>
        <v>311</v>
      </c>
      <c r="I10" s="5" t="n">
        <f aca="false">SUM(B10:H10)</f>
        <v>77750</v>
      </c>
      <c r="J10" s="6" t="n">
        <f aca="false">IF($I10=0,0,B10/$I10)</f>
        <v>6.43086816720257E-005</v>
      </c>
      <c r="K10" s="6" t="n">
        <f aca="false">IF($I10=0,0,C10/$I10)</f>
        <v>1.28617363344051E-005</v>
      </c>
      <c r="L10" s="6" t="n">
        <f aca="false">IF($I10=0,0,D10/$I10)</f>
        <v>0.0543279742765273</v>
      </c>
      <c r="M10" s="6" t="n">
        <f aca="false">IF($I10=0,0,E10/$I10)</f>
        <v>0.828295819935691</v>
      </c>
      <c r="N10" s="6" t="n">
        <f aca="false">IF($I10=0,0,F10/$I10)</f>
        <v>0.0942636655948553</v>
      </c>
    </row>
    <row r="11" customFormat="false" ht="15" hidden="false" customHeight="false" outlineLevel="0" collapsed="false">
      <c r="A11" s="4" t="s">
        <v>22</v>
      </c>
      <c r="B11" s="5" t="n">
        <f aca="false">SUMPRODUCT((Raw_Fuel_Detail!$A$3:$A$44=$A11)*(Raw_Fuel_Detail!$B$3:$B$44="Motor Cab")*(Raw_Fuel_Detail!$C$1:$AL$1=B$4)*Raw_Fuel_Detail!$C$3:$AL$44)</f>
        <v>16</v>
      </c>
      <c r="C11" s="5" t="n">
        <f aca="false">SUMPRODUCT((Raw_Fuel_Detail!$A$3:$A$44=$A11)*(Raw_Fuel_Detail!$B$3:$B$44="Motor Cab")*(Raw_Fuel_Detail!$C$1:$AL$1=C$4)*Raw_Fuel_Detail!$C$3:$AL$44)</f>
        <v>1</v>
      </c>
      <c r="D11" s="5" t="n">
        <f aca="false">SUMPRODUCT((Raw_Fuel_Detail!$A$3:$A$44=$A11)*(Raw_Fuel_Detail!$B$3:$B$44="Motor Cab")*(Raw_Fuel_Detail!$C$1:$AL$1=D$4)*Raw_Fuel_Detail!$C$3:$AL$44)</f>
        <v>6485</v>
      </c>
      <c r="E11" s="5" t="n">
        <f aca="false">SUMPRODUCT((Raw_Fuel_Detail!$A$3:$A$44=$A11)*(Raw_Fuel_Detail!$B$3:$B$44="Motor Cab")*(Raw_Fuel_Detail!$C$1:$AL$1=E$4)*Raw_Fuel_Detail!$C$3:$AL$44)</f>
        <v>79253</v>
      </c>
      <c r="F11" s="5" t="n">
        <f aca="false">SUMPRODUCT((Raw_Fuel_Detail!$A$3:$A$44=$A11)*(Raw_Fuel_Detail!$B$3:$B$44="Motor Cab")*(Raw_Fuel_Detail!$C$1:$AL$1=F$4)*Raw_Fuel_Detail!$C$3:$AL$44)</f>
        <v>17599</v>
      </c>
      <c r="G11" s="5" t="n">
        <f aca="false">SUMPRODUCT((Raw_Fuel_Detail!$A$3:$A$44=$A11)*(Raw_Fuel_Detail!$B$3:$B$44="Motor Cab")*(Raw_Fuel_Detail!$C$1:$AL$1=G$4)*Raw_Fuel_Detail!$C$3:$AL$44)</f>
        <v>1562</v>
      </c>
      <c r="H11" s="5" t="n">
        <f aca="false">SUMPRODUCT((Raw_Fuel_Detail!$A$3:$A$44=$A11)*(Raw_Fuel_Detail!$B$3:$B$44="Motor Cab")*(Raw_Fuel_Detail!$C$1:$AL$1=H$4)*Raw_Fuel_Detail!$C$3:$AL$44)</f>
        <v>79</v>
      </c>
      <c r="I11" s="5" t="n">
        <f aca="false">SUM(B11:H11)</f>
        <v>104995</v>
      </c>
      <c r="J11" s="6" t="n">
        <f aca="false">IF($I11=0,0,B11/$I11)</f>
        <v>0.000152388208962332</v>
      </c>
      <c r="K11" s="6" t="n">
        <f aca="false">IF($I11=0,0,C11/$I11)</f>
        <v>9.52426306014572E-006</v>
      </c>
      <c r="L11" s="6" t="n">
        <f aca="false">IF($I11=0,0,D11/$I11)</f>
        <v>0.061764845945045</v>
      </c>
      <c r="M11" s="6" t="n">
        <f aca="false">IF($I11=0,0,E11/$I11)</f>
        <v>0.754826420305729</v>
      </c>
      <c r="N11" s="6" t="n">
        <f aca="false">IF($I11=0,0,F11/$I11)</f>
        <v>0.167617505595505</v>
      </c>
    </row>
    <row r="12" customFormat="false" ht="15" hidden="false" customHeight="false" outlineLevel="0" collapsed="false">
      <c r="A12" s="4" t="s">
        <v>23</v>
      </c>
      <c r="B12" s="5" t="n">
        <f aca="false">SUMPRODUCT((Raw_Fuel_Detail!$A$3:$A$44=$A12)*(Raw_Fuel_Detail!$B$3:$B$44="Motor Cab")*(Raw_Fuel_Detail!$C$1:$AL$1=B$4)*Raw_Fuel_Detail!$C$3:$AL$44)</f>
        <v>9</v>
      </c>
      <c r="C12" s="5" t="n">
        <f aca="false">SUMPRODUCT((Raw_Fuel_Detail!$A$3:$A$44=$A12)*(Raw_Fuel_Detail!$B$3:$B$44="Motor Cab")*(Raw_Fuel_Detail!$C$1:$AL$1=C$4)*Raw_Fuel_Detail!$C$3:$AL$44)</f>
        <v>1</v>
      </c>
      <c r="D12" s="5" t="n">
        <f aca="false">SUMPRODUCT((Raw_Fuel_Detail!$A$3:$A$44=$A12)*(Raw_Fuel_Detail!$B$3:$B$44="Motor Cab")*(Raw_Fuel_Detail!$C$1:$AL$1=D$4)*Raw_Fuel_Detail!$C$3:$AL$44)</f>
        <v>6215</v>
      </c>
      <c r="E12" s="5" t="n">
        <f aca="false">SUMPRODUCT((Raw_Fuel_Detail!$A$3:$A$44=$A12)*(Raw_Fuel_Detail!$B$3:$B$44="Motor Cab")*(Raw_Fuel_Detail!$C$1:$AL$1=E$4)*Raw_Fuel_Detail!$C$3:$AL$44)</f>
        <v>95611</v>
      </c>
      <c r="F12" s="5" t="n">
        <f aca="false">SUMPRODUCT((Raw_Fuel_Detail!$A$3:$A$44=$A12)*(Raw_Fuel_Detail!$B$3:$B$44="Motor Cab")*(Raw_Fuel_Detail!$C$1:$AL$1=F$4)*Raw_Fuel_Detail!$C$3:$AL$44)</f>
        <v>11392</v>
      </c>
      <c r="G12" s="5" t="n">
        <f aca="false">SUMPRODUCT((Raw_Fuel_Detail!$A$3:$A$44=$A12)*(Raw_Fuel_Detail!$B$3:$B$44="Motor Cab")*(Raw_Fuel_Detail!$C$1:$AL$1=G$4)*Raw_Fuel_Detail!$C$3:$AL$44)</f>
        <v>1212</v>
      </c>
      <c r="H12" s="5" t="n">
        <f aca="false">SUMPRODUCT((Raw_Fuel_Detail!$A$3:$A$44=$A12)*(Raw_Fuel_Detail!$B$3:$B$44="Motor Cab")*(Raw_Fuel_Detail!$C$1:$AL$1=H$4)*Raw_Fuel_Detail!$C$3:$AL$44)</f>
        <v>84</v>
      </c>
      <c r="I12" s="5" t="n">
        <f aca="false">SUM(B12:H12)</f>
        <v>114524</v>
      </c>
      <c r="J12" s="6" t="n">
        <f aca="false">IF($I12=0,0,B12/$I12)</f>
        <v>7.85861478816667E-005</v>
      </c>
      <c r="K12" s="6" t="n">
        <f aca="false">IF($I12=0,0,C12/$I12)</f>
        <v>8.73179420907408E-006</v>
      </c>
      <c r="L12" s="6" t="n">
        <f aca="false">IF($I12=0,0,D12/$I12)</f>
        <v>0.0542681010093954</v>
      </c>
      <c r="M12" s="6" t="n">
        <f aca="false">IF($I12=0,0,E12/$I12)</f>
        <v>0.834855576123782</v>
      </c>
      <c r="N12" s="6" t="n">
        <f aca="false">IF($I12=0,0,F12/$I12)</f>
        <v>0.0994725996297719</v>
      </c>
    </row>
    <row r="13" customFormat="false" ht="15" hidden="false" customHeight="false" outlineLevel="0" collapsed="false">
      <c r="A13" s="4" t="s">
        <v>24</v>
      </c>
      <c r="B13" s="5" t="n">
        <f aca="false">SUMPRODUCT((Raw_Fuel_Detail!$A$3:$A$44=$A13)*(Raw_Fuel_Detail!$B$3:$B$44="Motor Cab")*(Raw_Fuel_Detail!$C$1:$AL$1=B$4)*Raw_Fuel_Detail!$C$3:$AL$44)</f>
        <v>8</v>
      </c>
      <c r="C13" s="5" t="n">
        <f aca="false">SUMPRODUCT((Raw_Fuel_Detail!$A$3:$A$44=$A13)*(Raw_Fuel_Detail!$B$3:$B$44="Motor Cab")*(Raw_Fuel_Detail!$C$1:$AL$1=C$4)*Raw_Fuel_Detail!$C$3:$AL$44)</f>
        <v>3</v>
      </c>
      <c r="D13" s="5" t="n">
        <f aca="false">SUMPRODUCT((Raw_Fuel_Detail!$A$3:$A$44=$A13)*(Raw_Fuel_Detail!$B$3:$B$44="Motor Cab")*(Raw_Fuel_Detail!$C$1:$AL$1=D$4)*Raw_Fuel_Detail!$C$3:$AL$44)</f>
        <v>5577</v>
      </c>
      <c r="E13" s="5" t="n">
        <f aca="false">SUMPRODUCT((Raw_Fuel_Detail!$A$3:$A$44=$A13)*(Raw_Fuel_Detail!$B$3:$B$44="Motor Cab")*(Raw_Fuel_Detail!$C$1:$AL$1=E$4)*Raw_Fuel_Detail!$C$3:$AL$44)</f>
        <v>116455</v>
      </c>
      <c r="F13" s="5" t="n">
        <f aca="false">SUMPRODUCT((Raw_Fuel_Detail!$A$3:$A$44=$A13)*(Raw_Fuel_Detail!$B$3:$B$44="Motor Cab")*(Raw_Fuel_Detail!$C$1:$AL$1=F$4)*Raw_Fuel_Detail!$C$3:$AL$44)</f>
        <v>7683</v>
      </c>
      <c r="G13" s="5" t="n">
        <f aca="false">SUMPRODUCT((Raw_Fuel_Detail!$A$3:$A$44=$A13)*(Raw_Fuel_Detail!$B$3:$B$44="Motor Cab")*(Raw_Fuel_Detail!$C$1:$AL$1=G$4)*Raw_Fuel_Detail!$C$3:$AL$44)</f>
        <v>565</v>
      </c>
      <c r="H13" s="5" t="n">
        <f aca="false">SUMPRODUCT((Raw_Fuel_Detail!$A$3:$A$44=$A13)*(Raw_Fuel_Detail!$B$3:$B$44="Motor Cab")*(Raw_Fuel_Detail!$C$1:$AL$1=H$4)*Raw_Fuel_Detail!$C$3:$AL$44)</f>
        <v>91</v>
      </c>
      <c r="I13" s="5" t="n">
        <f aca="false">SUM(B13:H13)</f>
        <v>130382</v>
      </c>
      <c r="J13" s="6" t="n">
        <f aca="false">IF($I13=0,0,B13/$I13)</f>
        <v>6.13581629366017E-005</v>
      </c>
      <c r="K13" s="6" t="n">
        <f aca="false">IF($I13=0,0,C13/$I13)</f>
        <v>2.30093111012256E-005</v>
      </c>
      <c r="L13" s="6" t="n">
        <f aca="false">IF($I13=0,0,D13/$I13)</f>
        <v>0.0427743093371785</v>
      </c>
      <c r="M13" s="6" t="n">
        <f aca="false">IF($I13=0,0,E13/$I13)</f>
        <v>0.893183108097744</v>
      </c>
      <c r="N13" s="6" t="n">
        <f aca="false">IF($I13=0,0,F13/$I13)</f>
        <v>0.0589268457302388</v>
      </c>
    </row>
    <row r="14" customFormat="false" ht="15" hidden="false" customHeight="false" outlineLevel="0" collapsed="false">
      <c r="A14" s="4" t="s">
        <v>25</v>
      </c>
      <c r="B14" s="5" t="n">
        <f aca="false">SUMPRODUCT((Raw_Fuel_Detail!$A$3:$A$44=$A14)*(Raw_Fuel_Detail!$B$3:$B$44="Motor Cab")*(Raw_Fuel_Detail!$C$1:$AL$1=B$4)*Raw_Fuel_Detail!$C$3:$AL$44)</f>
        <v>23</v>
      </c>
      <c r="C14" s="5" t="n">
        <f aca="false">SUMPRODUCT((Raw_Fuel_Detail!$A$3:$A$44=$A14)*(Raw_Fuel_Detail!$B$3:$B$44="Motor Cab")*(Raw_Fuel_Detail!$C$1:$AL$1=C$4)*Raw_Fuel_Detail!$C$3:$AL$44)</f>
        <v>0</v>
      </c>
      <c r="D14" s="5" t="n">
        <f aca="false">SUMPRODUCT((Raw_Fuel_Detail!$A$3:$A$44=$A14)*(Raw_Fuel_Detail!$B$3:$B$44="Motor Cab")*(Raw_Fuel_Detail!$C$1:$AL$1=D$4)*Raw_Fuel_Detail!$C$3:$AL$44)</f>
        <v>6173</v>
      </c>
      <c r="E14" s="5" t="n">
        <f aca="false">SUMPRODUCT((Raw_Fuel_Detail!$A$3:$A$44=$A14)*(Raw_Fuel_Detail!$B$3:$B$44="Motor Cab")*(Raw_Fuel_Detail!$C$1:$AL$1=E$4)*Raw_Fuel_Detail!$C$3:$AL$44)</f>
        <v>102413</v>
      </c>
      <c r="F14" s="5" t="n">
        <f aca="false">SUMPRODUCT((Raw_Fuel_Detail!$A$3:$A$44=$A14)*(Raw_Fuel_Detail!$B$3:$B$44="Motor Cab")*(Raw_Fuel_Detail!$C$1:$AL$1=F$4)*Raw_Fuel_Detail!$C$3:$AL$44)</f>
        <v>9329</v>
      </c>
      <c r="G14" s="5" t="n">
        <f aca="false">SUMPRODUCT((Raw_Fuel_Detail!$A$3:$A$44=$A14)*(Raw_Fuel_Detail!$B$3:$B$44="Motor Cab")*(Raw_Fuel_Detail!$C$1:$AL$1=G$4)*Raw_Fuel_Detail!$C$3:$AL$44)</f>
        <v>374</v>
      </c>
      <c r="H14" s="5" t="n">
        <f aca="false">SUMPRODUCT((Raw_Fuel_Detail!$A$3:$A$44=$A14)*(Raw_Fuel_Detail!$B$3:$B$44="Motor Cab")*(Raw_Fuel_Detail!$C$1:$AL$1=H$4)*Raw_Fuel_Detail!$C$3:$AL$44)</f>
        <v>91</v>
      </c>
      <c r="I14" s="5" t="n">
        <f aca="false">SUM(B14:H14)</f>
        <v>118403</v>
      </c>
      <c r="J14" s="6" t="n">
        <f aca="false">IF($I14=0,0,B14/$I14)</f>
        <v>0.000194251834835266</v>
      </c>
      <c r="K14" s="6" t="n">
        <f aca="false">IF($I14=0,0,C14/$I14)</f>
        <v>0</v>
      </c>
      <c r="L14" s="6" t="n">
        <f aca="false">IF($I14=0,0,D14/$I14)</f>
        <v>0.0521355033233955</v>
      </c>
      <c r="M14" s="6" t="n">
        <f aca="false">IF($I14=0,0,E14/$I14)</f>
        <v>0.864952746129743</v>
      </c>
      <c r="N14" s="6" t="n">
        <f aca="false">IF($I14=0,0,F14/$I14)</f>
        <v>0.0787902333555738</v>
      </c>
    </row>
    <row r="15" customFormat="false" ht="15" hidden="false" customHeight="false" outlineLevel="0" collapsed="false">
      <c r="A15" s="4" t="s">
        <v>26</v>
      </c>
      <c r="B15" s="5" t="n">
        <f aca="false">SUMPRODUCT((Raw_Fuel_Detail!$A$3:$A$44=$A15)*(Raw_Fuel_Detail!$B$3:$B$44="Motor Cab")*(Raw_Fuel_Detail!$C$1:$AL$1=B$4)*Raw_Fuel_Detail!$C$3:$AL$44)</f>
        <v>6</v>
      </c>
      <c r="C15" s="5" t="n">
        <f aca="false">SUMPRODUCT((Raw_Fuel_Detail!$A$3:$A$44=$A15)*(Raw_Fuel_Detail!$B$3:$B$44="Motor Cab")*(Raw_Fuel_Detail!$C$1:$AL$1=C$4)*Raw_Fuel_Detail!$C$3:$AL$44)</f>
        <v>2</v>
      </c>
      <c r="D15" s="5" t="n">
        <f aca="false">SUMPRODUCT((Raw_Fuel_Detail!$A$3:$A$44=$A15)*(Raw_Fuel_Detail!$B$3:$B$44="Motor Cab")*(Raw_Fuel_Detail!$C$1:$AL$1=D$4)*Raw_Fuel_Detail!$C$3:$AL$44)</f>
        <v>6593</v>
      </c>
      <c r="E15" s="5" t="n">
        <f aca="false">SUMPRODUCT((Raw_Fuel_Detail!$A$3:$A$44=$A15)*(Raw_Fuel_Detail!$B$3:$B$44="Motor Cab")*(Raw_Fuel_Detail!$C$1:$AL$1=E$4)*Raw_Fuel_Detail!$C$3:$AL$44)</f>
        <v>85001</v>
      </c>
      <c r="F15" s="5" t="n">
        <f aca="false">SUMPRODUCT((Raw_Fuel_Detail!$A$3:$A$44=$A15)*(Raw_Fuel_Detail!$B$3:$B$44="Motor Cab")*(Raw_Fuel_Detail!$C$1:$AL$1=F$4)*Raw_Fuel_Detail!$C$3:$AL$44)</f>
        <v>9618</v>
      </c>
      <c r="G15" s="5" t="n">
        <f aca="false">SUMPRODUCT((Raw_Fuel_Detail!$A$3:$A$44=$A15)*(Raw_Fuel_Detail!$B$3:$B$44="Motor Cab")*(Raw_Fuel_Detail!$C$1:$AL$1=G$4)*Raw_Fuel_Detail!$C$3:$AL$44)</f>
        <v>450</v>
      </c>
      <c r="H15" s="5" t="n">
        <f aca="false">SUMPRODUCT((Raw_Fuel_Detail!$A$3:$A$44=$A15)*(Raw_Fuel_Detail!$B$3:$B$44="Motor Cab")*(Raw_Fuel_Detail!$C$1:$AL$1=H$4)*Raw_Fuel_Detail!$C$3:$AL$44)</f>
        <v>82</v>
      </c>
      <c r="I15" s="5" t="n">
        <f aca="false">SUM(B15:H15)</f>
        <v>101752</v>
      </c>
      <c r="J15" s="6" t="n">
        <f aca="false">IF($I15=0,0,B15/$I15)</f>
        <v>5.89668999135152E-005</v>
      </c>
      <c r="K15" s="6" t="n">
        <f aca="false">IF($I15=0,0,C15/$I15)</f>
        <v>1.96556333045051E-005</v>
      </c>
      <c r="L15" s="6" t="n">
        <f aca="false">IF($I15=0,0,D15/$I15)</f>
        <v>0.064794795188301</v>
      </c>
      <c r="M15" s="6" t="n">
        <f aca="false">IF($I15=0,0,E15/$I15)</f>
        <v>0.835374243258118</v>
      </c>
      <c r="N15" s="6" t="n">
        <f aca="false">IF($I15=0,0,F15/$I15)</f>
        <v>0.0945239405613649</v>
      </c>
    </row>
    <row r="16" customFormat="false" ht="15" hidden="false" customHeight="false" outlineLevel="0" collapsed="false">
      <c r="A16" s="4" t="s">
        <v>27</v>
      </c>
      <c r="B16" s="5" t="n">
        <f aca="false">SUMPRODUCT((Raw_Fuel_Detail!$A$3:$A$44=$A16)*(Raw_Fuel_Detail!$B$3:$B$44="Motor Cab")*(Raw_Fuel_Detail!$C$1:$AL$1=B$4)*Raw_Fuel_Detail!$C$3:$AL$44)</f>
        <v>115</v>
      </c>
      <c r="C16" s="5" t="n">
        <f aca="false">SUMPRODUCT((Raw_Fuel_Detail!$A$3:$A$44=$A16)*(Raw_Fuel_Detail!$B$3:$B$44="Motor Cab")*(Raw_Fuel_Detail!$C$1:$AL$1=C$4)*Raw_Fuel_Detail!$C$3:$AL$44)</f>
        <v>71</v>
      </c>
      <c r="D16" s="5" t="n">
        <f aca="false">SUMPRODUCT((Raw_Fuel_Detail!$A$3:$A$44=$A16)*(Raw_Fuel_Detail!$B$3:$B$44="Motor Cab")*(Raw_Fuel_Detail!$C$1:$AL$1=D$4)*Raw_Fuel_Detail!$C$3:$AL$44)</f>
        <v>8923</v>
      </c>
      <c r="E16" s="5" t="n">
        <f aca="false">SUMPRODUCT((Raw_Fuel_Detail!$A$3:$A$44=$A16)*(Raw_Fuel_Detail!$B$3:$B$44="Motor Cab")*(Raw_Fuel_Detail!$C$1:$AL$1=E$4)*Raw_Fuel_Detail!$C$3:$AL$44)</f>
        <v>111742</v>
      </c>
      <c r="F16" s="5" t="n">
        <f aca="false">SUMPRODUCT((Raw_Fuel_Detail!$A$3:$A$44=$A16)*(Raw_Fuel_Detail!$B$3:$B$44="Motor Cab")*(Raw_Fuel_Detail!$C$1:$AL$1=F$4)*Raw_Fuel_Detail!$C$3:$AL$44)</f>
        <v>19920</v>
      </c>
      <c r="G16" s="5" t="n">
        <f aca="false">SUMPRODUCT((Raw_Fuel_Detail!$A$3:$A$44=$A16)*(Raw_Fuel_Detail!$B$3:$B$44="Motor Cab")*(Raw_Fuel_Detail!$C$1:$AL$1=G$4)*Raw_Fuel_Detail!$C$3:$AL$44)</f>
        <v>537</v>
      </c>
      <c r="H16" s="5" t="n">
        <f aca="false">SUMPRODUCT((Raw_Fuel_Detail!$A$3:$A$44=$A16)*(Raw_Fuel_Detail!$B$3:$B$44="Motor Cab")*(Raw_Fuel_Detail!$C$1:$AL$1=H$4)*Raw_Fuel_Detail!$C$3:$AL$44)</f>
        <v>196</v>
      </c>
      <c r="I16" s="5" t="n">
        <f aca="false">SUM(B16:H16)</f>
        <v>141504</v>
      </c>
      <c r="J16" s="6" t="n">
        <f aca="false">IF($I16=0,0,B16/$I16)</f>
        <v>0.000812697874265038</v>
      </c>
      <c r="K16" s="6" t="n">
        <f aca="false">IF($I16=0,0,C16/$I16)</f>
        <v>0.000501752600633198</v>
      </c>
      <c r="L16" s="6" t="n">
        <f aca="false">IF($I16=0,0,D16/$I16)</f>
        <v>0.0630582881049299</v>
      </c>
      <c r="M16" s="6" t="n">
        <f aca="false">IF($I16=0,0,E16/$I16)</f>
        <v>0.789673790140208</v>
      </c>
      <c r="N16" s="6" t="n">
        <f aca="false">IF($I16=0,0,F16/$I16)</f>
        <v>0.140773405698779</v>
      </c>
    </row>
    <row r="17" customFormat="false" ht="15" hidden="false" customHeight="false" outlineLevel="0" collapsed="false">
      <c r="A17" s="4" t="s">
        <v>28</v>
      </c>
      <c r="B17" s="5" t="n">
        <f aca="false">SUMPRODUCT((Raw_Fuel_Detail!$A$3:$A$44=$A17)*(Raw_Fuel_Detail!$B$3:$B$44="Motor Cab")*(Raw_Fuel_Detail!$C$1:$AL$1=B$4)*Raw_Fuel_Detail!$C$3:$AL$44)</f>
        <v>141</v>
      </c>
      <c r="C17" s="5" t="n">
        <f aca="false">SUMPRODUCT((Raw_Fuel_Detail!$A$3:$A$44=$A17)*(Raw_Fuel_Detail!$B$3:$B$44="Motor Cab")*(Raw_Fuel_Detail!$C$1:$AL$1=C$4)*Raw_Fuel_Detail!$C$3:$AL$44)</f>
        <v>755</v>
      </c>
      <c r="D17" s="5" t="n">
        <f aca="false">SUMPRODUCT((Raw_Fuel_Detail!$A$3:$A$44=$A17)*(Raw_Fuel_Detail!$B$3:$B$44="Motor Cab")*(Raw_Fuel_Detail!$C$1:$AL$1=D$4)*Raw_Fuel_Detail!$C$3:$AL$44)</f>
        <v>14025</v>
      </c>
      <c r="E17" s="5" t="n">
        <f aca="false">SUMPRODUCT((Raw_Fuel_Detail!$A$3:$A$44=$A17)*(Raw_Fuel_Detail!$B$3:$B$44="Motor Cab")*(Raw_Fuel_Detail!$C$1:$AL$1=E$4)*Raw_Fuel_Detail!$C$3:$AL$44)</f>
        <v>120897</v>
      </c>
      <c r="F17" s="5" t="n">
        <f aca="false">SUMPRODUCT((Raw_Fuel_Detail!$A$3:$A$44=$A17)*(Raw_Fuel_Detail!$B$3:$B$44="Motor Cab")*(Raw_Fuel_Detail!$C$1:$AL$1=F$4)*Raw_Fuel_Detail!$C$3:$AL$44)</f>
        <v>46454</v>
      </c>
      <c r="G17" s="5" t="n">
        <f aca="false">SUMPRODUCT((Raw_Fuel_Detail!$A$3:$A$44=$A17)*(Raw_Fuel_Detail!$B$3:$B$44="Motor Cab")*(Raw_Fuel_Detail!$C$1:$AL$1=G$4)*Raw_Fuel_Detail!$C$3:$AL$44)</f>
        <v>1306</v>
      </c>
      <c r="H17" s="5" t="n">
        <f aca="false">SUMPRODUCT((Raw_Fuel_Detail!$A$3:$A$44=$A17)*(Raw_Fuel_Detail!$B$3:$B$44="Motor Cab")*(Raw_Fuel_Detail!$C$1:$AL$1=H$4)*Raw_Fuel_Detail!$C$3:$AL$44)</f>
        <v>502</v>
      </c>
      <c r="I17" s="5" t="n">
        <f aca="false">SUM(B17:H17)</f>
        <v>184080</v>
      </c>
      <c r="J17" s="6" t="n">
        <f aca="false">IF($I17=0,0,B17/$I17)</f>
        <v>0.000765971316818774</v>
      </c>
      <c r="K17" s="6" t="n">
        <f aca="false">IF($I17=0,0,C17/$I17)</f>
        <v>0.00410147761842677</v>
      </c>
      <c r="L17" s="6" t="n">
        <f aca="false">IF($I17=0,0,D17/$I17)</f>
        <v>0.0761897001303781</v>
      </c>
      <c r="M17" s="6" t="n">
        <f aca="false">IF($I17=0,0,E17/$I17)</f>
        <v>0.656763363754889</v>
      </c>
      <c r="N17" s="6" t="n">
        <f aca="false">IF($I17=0,0,F17/$I17)</f>
        <v>0.25235767057801</v>
      </c>
    </row>
    <row r="18" customFormat="false" ht="15" hidden="false" customHeight="false" outlineLevel="0" collapsed="false">
      <c r="A18" s="4" t="s">
        <v>29</v>
      </c>
      <c r="B18" s="5" t="n">
        <f aca="false">SUMPRODUCT((Raw_Fuel_Detail!$A$3:$A$44=$A18)*(Raw_Fuel_Detail!$B$3:$B$44="Motor Cab")*(Raw_Fuel_Detail!$C$1:$AL$1=B$4)*Raw_Fuel_Detail!$C$3:$AL$44)</f>
        <v>272</v>
      </c>
      <c r="C18" s="5" t="n">
        <f aca="false">SUMPRODUCT((Raw_Fuel_Detail!$A$3:$A$44=$A18)*(Raw_Fuel_Detail!$B$3:$B$44="Motor Cab")*(Raw_Fuel_Detail!$C$1:$AL$1=C$4)*Raw_Fuel_Detail!$C$3:$AL$44)</f>
        <v>959</v>
      </c>
      <c r="D18" s="5" t="n">
        <f aca="false">SUMPRODUCT((Raw_Fuel_Detail!$A$3:$A$44=$A18)*(Raw_Fuel_Detail!$B$3:$B$44="Motor Cab")*(Raw_Fuel_Detail!$C$1:$AL$1=D$4)*Raw_Fuel_Detail!$C$3:$AL$44)</f>
        <v>13803</v>
      </c>
      <c r="E18" s="5" t="n">
        <f aca="false">SUMPRODUCT((Raw_Fuel_Detail!$A$3:$A$44=$A18)*(Raw_Fuel_Detail!$B$3:$B$44="Motor Cab")*(Raw_Fuel_Detail!$C$1:$AL$1=E$4)*Raw_Fuel_Detail!$C$3:$AL$44)</f>
        <v>86830</v>
      </c>
      <c r="F18" s="5" t="n">
        <f aca="false">SUMPRODUCT((Raw_Fuel_Detail!$A$3:$A$44=$A18)*(Raw_Fuel_Detail!$B$3:$B$44="Motor Cab")*(Raw_Fuel_Detail!$C$1:$AL$1=F$4)*Raw_Fuel_Detail!$C$3:$AL$44)</f>
        <v>25696</v>
      </c>
      <c r="G18" s="5" t="n">
        <f aca="false">SUMPRODUCT((Raw_Fuel_Detail!$A$3:$A$44=$A18)*(Raw_Fuel_Detail!$B$3:$B$44="Motor Cab")*(Raw_Fuel_Detail!$C$1:$AL$1=G$4)*Raw_Fuel_Detail!$C$3:$AL$44)</f>
        <v>1008</v>
      </c>
      <c r="H18" s="5" t="n">
        <f aca="false">SUMPRODUCT((Raw_Fuel_Detail!$A$3:$A$44=$A18)*(Raw_Fuel_Detail!$B$3:$B$44="Motor Cab")*(Raw_Fuel_Detail!$C$1:$AL$1=H$4)*Raw_Fuel_Detail!$C$3:$AL$44)</f>
        <v>234</v>
      </c>
      <c r="I18" s="5" t="n">
        <f aca="false">SUM(B18:H18)</f>
        <v>128802</v>
      </c>
      <c r="J18" s="6" t="n">
        <f aca="false">IF($I18=0,0,B18/$I18)</f>
        <v>0.00211176845080045</v>
      </c>
      <c r="K18" s="6" t="n">
        <f aca="false">IF($I18=0,0,C18/$I18)</f>
        <v>0.0074455365599913</v>
      </c>
      <c r="L18" s="6" t="n">
        <f aca="false">IF($I18=0,0,D18/$I18)</f>
        <v>0.107164485023524</v>
      </c>
      <c r="M18" s="6" t="n">
        <f aca="false">IF($I18=0,0,E18/$I18)</f>
        <v>0.674135494790454</v>
      </c>
      <c r="N18" s="6" t="n">
        <f aca="false">IF($I18=0,0,F18/$I18)</f>
        <v>0.199500007763855</v>
      </c>
    </row>
    <row r="19" customFormat="false" ht="15" hidden="false" customHeight="false" outlineLevel="0" collapsed="false">
      <c r="A19" s="4" t="s">
        <v>30</v>
      </c>
      <c r="B19" s="5" t="n">
        <f aca="false">SUMPRODUCT((Raw_Fuel_Detail!$A$3:$A$44=$A19)*(Raw_Fuel_Detail!$B$3:$B$44="Motor Cab")*(Raw_Fuel_Detail!$C$1:$AL$1=B$4)*Raw_Fuel_Detail!$C$3:$AL$44)</f>
        <v>619</v>
      </c>
      <c r="C19" s="5" t="n">
        <f aca="false">SUMPRODUCT((Raw_Fuel_Detail!$A$3:$A$44=$A19)*(Raw_Fuel_Detail!$B$3:$B$44="Motor Cab")*(Raw_Fuel_Detail!$C$1:$AL$1=C$4)*Raw_Fuel_Detail!$C$3:$AL$44)</f>
        <v>1611</v>
      </c>
      <c r="D19" s="5" t="n">
        <f aca="false">SUMPRODUCT((Raw_Fuel_Detail!$A$3:$A$44=$A19)*(Raw_Fuel_Detail!$B$3:$B$44="Motor Cab")*(Raw_Fuel_Detail!$C$1:$AL$1=D$4)*Raw_Fuel_Detail!$C$3:$AL$44)</f>
        <v>15248</v>
      </c>
      <c r="E19" s="5" t="n">
        <f aca="false">SUMPRODUCT((Raw_Fuel_Detail!$A$3:$A$44=$A19)*(Raw_Fuel_Detail!$B$3:$B$44="Motor Cab")*(Raw_Fuel_Detail!$C$1:$AL$1=E$4)*Raw_Fuel_Detail!$C$3:$AL$44)</f>
        <v>91373</v>
      </c>
      <c r="F19" s="5" t="n">
        <f aca="false">SUMPRODUCT((Raw_Fuel_Detail!$A$3:$A$44=$A19)*(Raw_Fuel_Detail!$B$3:$B$44="Motor Cab")*(Raw_Fuel_Detail!$C$1:$AL$1=F$4)*Raw_Fuel_Detail!$C$3:$AL$44)</f>
        <v>42966</v>
      </c>
      <c r="G19" s="5" t="n">
        <f aca="false">SUMPRODUCT((Raw_Fuel_Detail!$A$3:$A$44=$A19)*(Raw_Fuel_Detail!$B$3:$B$44="Motor Cab")*(Raw_Fuel_Detail!$C$1:$AL$1=G$4)*Raw_Fuel_Detail!$C$3:$AL$44)</f>
        <v>1025</v>
      </c>
      <c r="H19" s="5" t="n">
        <f aca="false">SUMPRODUCT((Raw_Fuel_Detail!$A$3:$A$44=$A19)*(Raw_Fuel_Detail!$B$3:$B$44="Motor Cab")*(Raw_Fuel_Detail!$C$1:$AL$1=H$4)*Raw_Fuel_Detail!$C$3:$AL$44)</f>
        <v>234</v>
      </c>
      <c r="I19" s="5" t="n">
        <f aca="false">SUM(B19:H19)</f>
        <v>153076</v>
      </c>
      <c r="J19" s="6" t="n">
        <f aca="false">IF($I19=0,0,B19/$I19)</f>
        <v>0.00404374297734459</v>
      </c>
      <c r="K19" s="6" t="n">
        <f aca="false">IF($I19=0,0,C19/$I19)</f>
        <v>0.0105241840654316</v>
      </c>
      <c r="L19" s="6" t="n">
        <f aca="false">IF($I19=0,0,D19/$I19)</f>
        <v>0.099610650918498</v>
      </c>
      <c r="M19" s="6" t="n">
        <f aca="false">IF($I19=0,0,E19/$I19)</f>
        <v>0.596912644699365</v>
      </c>
      <c r="N19" s="6" t="n">
        <f aca="false">IF($I19=0,0,F19/$I19)</f>
        <v>0.280684104627767</v>
      </c>
    </row>
    <row r="20" customFormat="false" ht="15" hidden="false" customHeight="false" outlineLevel="0" collapsed="false">
      <c r="A20" s="4" t="s">
        <v>31</v>
      </c>
      <c r="B20" s="5" t="n">
        <f aca="false">SUMPRODUCT((Raw_Fuel_Detail!$A$3:$A$44=$A20)*(Raw_Fuel_Detail!$B$3:$B$44="Motor Cab")*(Raw_Fuel_Detail!$C$1:$AL$1=B$4)*Raw_Fuel_Detail!$C$3:$AL$44)</f>
        <v>1516</v>
      </c>
      <c r="C20" s="5" t="n">
        <f aca="false">SUMPRODUCT((Raw_Fuel_Detail!$A$3:$A$44=$A20)*(Raw_Fuel_Detail!$B$3:$B$44="Motor Cab")*(Raw_Fuel_Detail!$C$1:$AL$1=C$4)*Raw_Fuel_Detail!$C$3:$AL$44)</f>
        <v>1088</v>
      </c>
      <c r="D20" s="5" t="n">
        <f aca="false">SUMPRODUCT((Raw_Fuel_Detail!$A$3:$A$44=$A20)*(Raw_Fuel_Detail!$B$3:$B$44="Motor Cab")*(Raw_Fuel_Detail!$C$1:$AL$1=D$4)*Raw_Fuel_Detail!$C$3:$AL$44)</f>
        <v>18813</v>
      </c>
      <c r="E20" s="5" t="n">
        <f aca="false">SUMPRODUCT((Raw_Fuel_Detail!$A$3:$A$44=$A20)*(Raw_Fuel_Detail!$B$3:$B$44="Motor Cab")*(Raw_Fuel_Detail!$C$1:$AL$1=E$4)*Raw_Fuel_Detail!$C$3:$AL$44)</f>
        <v>77819</v>
      </c>
      <c r="F20" s="5" t="n">
        <f aca="false">SUMPRODUCT((Raw_Fuel_Detail!$A$3:$A$44=$A20)*(Raw_Fuel_Detail!$B$3:$B$44="Motor Cab")*(Raw_Fuel_Detail!$C$1:$AL$1=F$4)*Raw_Fuel_Detail!$C$3:$AL$44)</f>
        <v>41003</v>
      </c>
      <c r="G20" s="5" t="n">
        <f aca="false">SUMPRODUCT((Raw_Fuel_Detail!$A$3:$A$44=$A20)*(Raw_Fuel_Detail!$B$3:$B$44="Motor Cab")*(Raw_Fuel_Detail!$C$1:$AL$1=G$4)*Raw_Fuel_Detail!$C$3:$AL$44)</f>
        <v>773</v>
      </c>
      <c r="H20" s="5" t="n">
        <f aca="false">SUMPRODUCT((Raw_Fuel_Detail!$A$3:$A$44=$A20)*(Raw_Fuel_Detail!$B$3:$B$44="Motor Cab")*(Raw_Fuel_Detail!$C$1:$AL$1=H$4)*Raw_Fuel_Detail!$C$3:$AL$44)</f>
        <v>47</v>
      </c>
      <c r="I20" s="5" t="n">
        <f aca="false">SUM(B20:H20)</f>
        <v>141059</v>
      </c>
      <c r="J20" s="6" t="n">
        <f aca="false">IF($I20=0,0,B20/$I20)</f>
        <v>0.0107472759625405</v>
      </c>
      <c r="K20" s="6" t="n">
        <f aca="false">IF($I20=0,0,C20/$I20)</f>
        <v>0.00771308459580743</v>
      </c>
      <c r="L20" s="6" t="n">
        <f aca="false">IF($I20=0,0,D20/$I20)</f>
        <v>0.133369724725115</v>
      </c>
      <c r="M20" s="6" t="n">
        <f aca="false">IF($I20=0,0,E20/$I20)</f>
        <v>0.551676957868693</v>
      </c>
      <c r="N20" s="6" t="n">
        <f aca="false">IF($I20=0,0,F20/$I20)</f>
        <v>0.290679786472327</v>
      </c>
    </row>
    <row r="21" customFormat="false" ht="15" hidden="false" customHeight="false" outlineLevel="0" collapsed="false">
      <c r="A21" s="4" t="s">
        <v>32</v>
      </c>
      <c r="B21" s="5" t="n">
        <f aca="false">SUMPRODUCT((Raw_Fuel_Detail!$A$3:$A$44=$A21)*(Raw_Fuel_Detail!$B$3:$B$44="Motor Cab")*(Raw_Fuel_Detail!$C$1:$AL$1=B$4)*Raw_Fuel_Detail!$C$3:$AL$44)</f>
        <v>333</v>
      </c>
      <c r="C21" s="5" t="n">
        <f aca="false">SUMPRODUCT((Raw_Fuel_Detail!$A$3:$A$44=$A21)*(Raw_Fuel_Detail!$B$3:$B$44="Motor Cab")*(Raw_Fuel_Detail!$C$1:$AL$1=C$4)*Raw_Fuel_Detail!$C$3:$AL$44)</f>
        <v>661</v>
      </c>
      <c r="D21" s="5" t="n">
        <f aca="false">SUMPRODUCT((Raw_Fuel_Detail!$A$3:$A$44=$A21)*(Raw_Fuel_Detail!$B$3:$B$44="Motor Cab")*(Raw_Fuel_Detail!$C$1:$AL$1=D$4)*Raw_Fuel_Detail!$C$3:$AL$44)</f>
        <v>14246</v>
      </c>
      <c r="E21" s="5" t="n">
        <f aca="false">SUMPRODUCT((Raw_Fuel_Detail!$A$3:$A$44=$A21)*(Raw_Fuel_Detail!$B$3:$B$44="Motor Cab")*(Raw_Fuel_Detail!$C$1:$AL$1=E$4)*Raw_Fuel_Detail!$C$3:$AL$44)</f>
        <v>9278</v>
      </c>
      <c r="F21" s="5" t="n">
        <f aca="false">SUMPRODUCT((Raw_Fuel_Detail!$A$3:$A$44=$A21)*(Raw_Fuel_Detail!$B$3:$B$44="Motor Cab")*(Raw_Fuel_Detail!$C$1:$AL$1=F$4)*Raw_Fuel_Detail!$C$3:$AL$44)</f>
        <v>12265</v>
      </c>
      <c r="G21" s="5" t="n">
        <f aca="false">SUMPRODUCT((Raw_Fuel_Detail!$A$3:$A$44=$A21)*(Raw_Fuel_Detail!$B$3:$B$44="Motor Cab")*(Raw_Fuel_Detail!$C$1:$AL$1=G$4)*Raw_Fuel_Detail!$C$3:$AL$44)</f>
        <v>357</v>
      </c>
      <c r="H21" s="5" t="n">
        <f aca="false">SUMPRODUCT((Raw_Fuel_Detail!$A$3:$A$44=$A21)*(Raw_Fuel_Detail!$B$3:$B$44="Motor Cab")*(Raw_Fuel_Detail!$C$1:$AL$1=H$4)*Raw_Fuel_Detail!$C$3:$AL$44)</f>
        <v>27</v>
      </c>
      <c r="I21" s="5" t="n">
        <f aca="false">SUM(B21:H21)</f>
        <v>37167</v>
      </c>
      <c r="J21" s="6" t="n">
        <f aca="false">IF($I21=0,0,B21/$I21)</f>
        <v>0.0089595609007991</v>
      </c>
      <c r="K21" s="6" t="n">
        <f aca="false">IF($I21=0,0,C21/$I21)</f>
        <v>0.0177845938601448</v>
      </c>
      <c r="L21" s="6" t="n">
        <f aca="false">IF($I21=0,0,D21/$I21)</f>
        <v>0.383297010789141</v>
      </c>
      <c r="M21" s="6" t="n">
        <f aca="false">IF($I21=0,0,E21/$I21)</f>
        <v>0.249630048161003</v>
      </c>
      <c r="N21" s="6" t="n">
        <f aca="false">IF($I21=0,0,F21/$I21)</f>
        <v>0.329997040385288</v>
      </c>
    </row>
    <row r="22" customFormat="false" ht="15" hidden="false" customHeight="false" outlineLevel="0" collapsed="false">
      <c r="A22" s="4" t="s">
        <v>33</v>
      </c>
      <c r="B22" s="5" t="n">
        <f aca="false">SUMPRODUCT((Raw_Fuel_Detail!$A$3:$A$44=$A22)*(Raw_Fuel_Detail!$B$3:$B$44="Motor Cab")*(Raw_Fuel_Detail!$C$1:$AL$1=B$4)*Raw_Fuel_Detail!$C$3:$AL$44)</f>
        <v>919</v>
      </c>
      <c r="C22" s="5" t="n">
        <f aca="false">SUMPRODUCT((Raw_Fuel_Detail!$A$3:$A$44=$A22)*(Raw_Fuel_Detail!$B$3:$B$44="Motor Cab")*(Raw_Fuel_Detail!$C$1:$AL$1=C$4)*Raw_Fuel_Detail!$C$3:$AL$44)</f>
        <v>1232</v>
      </c>
      <c r="D22" s="5" t="n">
        <f aca="false">SUMPRODUCT((Raw_Fuel_Detail!$A$3:$A$44=$A22)*(Raw_Fuel_Detail!$B$3:$B$44="Motor Cab")*(Raw_Fuel_Detail!$C$1:$AL$1=D$4)*Raw_Fuel_Detail!$C$3:$AL$44)</f>
        <v>17651</v>
      </c>
      <c r="E22" s="5" t="n">
        <f aca="false">SUMPRODUCT((Raw_Fuel_Detail!$A$3:$A$44=$A22)*(Raw_Fuel_Detail!$B$3:$B$44="Motor Cab")*(Raw_Fuel_Detail!$C$1:$AL$1=E$4)*Raw_Fuel_Detail!$C$3:$AL$44)</f>
        <v>11882</v>
      </c>
      <c r="F22" s="5" t="n">
        <f aca="false">SUMPRODUCT((Raw_Fuel_Detail!$A$3:$A$44=$A22)*(Raw_Fuel_Detail!$B$3:$B$44="Motor Cab")*(Raw_Fuel_Detail!$C$1:$AL$1=F$4)*Raw_Fuel_Detail!$C$3:$AL$44)</f>
        <v>22275</v>
      </c>
      <c r="G22" s="5" t="n">
        <f aca="false">SUMPRODUCT((Raw_Fuel_Detail!$A$3:$A$44=$A22)*(Raw_Fuel_Detail!$B$3:$B$44="Motor Cab")*(Raw_Fuel_Detail!$C$1:$AL$1=G$4)*Raw_Fuel_Detail!$C$3:$AL$44)</f>
        <v>339</v>
      </c>
      <c r="H22" s="5" t="n">
        <f aca="false">SUMPRODUCT((Raw_Fuel_Detail!$A$3:$A$44=$A22)*(Raw_Fuel_Detail!$B$3:$B$44="Motor Cab")*(Raw_Fuel_Detail!$C$1:$AL$1=H$4)*Raw_Fuel_Detail!$C$3:$AL$44)</f>
        <v>152</v>
      </c>
      <c r="I22" s="5" t="n">
        <f aca="false">SUM(B22:H22)</f>
        <v>54450</v>
      </c>
      <c r="J22" s="6" t="n">
        <f aca="false">IF($I22=0,0,B22/$I22)</f>
        <v>0.0168778696051423</v>
      </c>
      <c r="K22" s="6" t="n">
        <f aca="false">IF($I22=0,0,C22/$I22)</f>
        <v>0.0226262626262626</v>
      </c>
      <c r="L22" s="6" t="n">
        <f aca="false">IF($I22=0,0,D22/$I22)</f>
        <v>0.324168962350781</v>
      </c>
      <c r="M22" s="6" t="n">
        <f aca="false">IF($I22=0,0,E22/$I22)</f>
        <v>0.21821854912764</v>
      </c>
      <c r="N22" s="6" t="n">
        <f aca="false">IF($I22=0,0,F22/$I22)</f>
        <v>0.409090909090909</v>
      </c>
    </row>
    <row r="23" customFormat="false" ht="15" hidden="false" customHeight="false" outlineLevel="0" collapsed="false">
      <c r="A23" s="4" t="s">
        <v>34</v>
      </c>
      <c r="B23" s="5" t="n">
        <f aca="false">SUMPRODUCT((Raw_Fuel_Detail!$A$3:$A$44=$A23)*(Raw_Fuel_Detail!$B$3:$B$44="Motor Cab")*(Raw_Fuel_Detail!$C$1:$AL$1=B$4)*Raw_Fuel_Detail!$C$3:$AL$44)</f>
        <v>7296</v>
      </c>
      <c r="C23" s="5" t="n">
        <f aca="false">SUMPRODUCT((Raw_Fuel_Detail!$A$3:$A$44=$A23)*(Raw_Fuel_Detail!$B$3:$B$44="Motor Cab")*(Raw_Fuel_Detail!$C$1:$AL$1=C$4)*Raw_Fuel_Detail!$C$3:$AL$44)</f>
        <v>3717</v>
      </c>
      <c r="D23" s="5" t="n">
        <f aca="false">SUMPRODUCT((Raw_Fuel_Detail!$A$3:$A$44=$A23)*(Raw_Fuel_Detail!$B$3:$B$44="Motor Cab")*(Raw_Fuel_Detail!$C$1:$AL$1=D$4)*Raw_Fuel_Detail!$C$3:$AL$44)</f>
        <v>37933</v>
      </c>
      <c r="E23" s="5" t="n">
        <f aca="false">SUMPRODUCT((Raw_Fuel_Detail!$A$3:$A$44=$A23)*(Raw_Fuel_Detail!$B$3:$B$44="Motor Cab")*(Raw_Fuel_Detail!$C$1:$AL$1=E$4)*Raw_Fuel_Detail!$C$3:$AL$44)</f>
        <v>22492</v>
      </c>
      <c r="F23" s="5" t="n">
        <f aca="false">SUMPRODUCT((Raw_Fuel_Detail!$A$3:$A$44=$A23)*(Raw_Fuel_Detail!$B$3:$B$44="Motor Cab")*(Raw_Fuel_Detail!$C$1:$AL$1=F$4)*Raw_Fuel_Detail!$C$3:$AL$44)</f>
        <v>77414</v>
      </c>
      <c r="G23" s="5" t="n">
        <f aca="false">SUMPRODUCT((Raw_Fuel_Detail!$A$3:$A$44=$A23)*(Raw_Fuel_Detail!$B$3:$B$44="Motor Cab")*(Raw_Fuel_Detail!$C$1:$AL$1=G$4)*Raw_Fuel_Detail!$C$3:$AL$44)</f>
        <v>381</v>
      </c>
      <c r="H23" s="5" t="n">
        <f aca="false">SUMPRODUCT((Raw_Fuel_Detail!$A$3:$A$44=$A23)*(Raw_Fuel_Detail!$B$3:$B$44="Motor Cab")*(Raw_Fuel_Detail!$C$1:$AL$1=H$4)*Raw_Fuel_Detail!$C$3:$AL$44)</f>
        <v>98</v>
      </c>
      <c r="I23" s="5" t="n">
        <f aca="false">SUM(B23:H23)</f>
        <v>149331</v>
      </c>
      <c r="J23" s="6" t="n">
        <f aca="false">IF($I23=0,0,B23/$I23)</f>
        <v>0.0488579062619282</v>
      </c>
      <c r="K23" s="6" t="n">
        <f aca="false">IF($I23=0,0,C23/$I23)</f>
        <v>0.0248910139220925</v>
      </c>
      <c r="L23" s="6" t="n">
        <f aca="false">IF($I23=0,0,D23/$I23)</f>
        <v>0.254019594056157</v>
      </c>
      <c r="M23" s="6" t="n">
        <f aca="false">IF($I23=0,0,E23/$I23)</f>
        <v>0.15061842484146</v>
      </c>
      <c r="N23" s="6" t="n">
        <f aca="false">IF($I23=0,0,F23/$I23)</f>
        <v>0.518405421513283</v>
      </c>
    </row>
    <row r="24" customFormat="false" ht="15" hidden="false" customHeight="false" outlineLevel="0" collapsed="false">
      <c r="A24" s="4" t="s">
        <v>35</v>
      </c>
      <c r="B24" s="5" t="n">
        <f aca="false">SUMPRODUCT((Raw_Fuel_Detail!$A$3:$A$44=$A24)*(Raw_Fuel_Detail!$B$3:$B$44="Motor Cab")*(Raw_Fuel_Detail!$C$1:$AL$1=B$4)*Raw_Fuel_Detail!$C$3:$AL$44)</f>
        <v>11673</v>
      </c>
      <c r="C24" s="5" t="n">
        <f aca="false">SUMPRODUCT((Raw_Fuel_Detail!$A$3:$A$44=$A24)*(Raw_Fuel_Detail!$B$3:$B$44="Motor Cab")*(Raw_Fuel_Detail!$C$1:$AL$1=C$4)*Raw_Fuel_Detail!$C$3:$AL$44)</f>
        <v>8552</v>
      </c>
      <c r="D24" s="5" t="n">
        <f aca="false">SUMPRODUCT((Raw_Fuel_Detail!$A$3:$A$44=$A24)*(Raw_Fuel_Detail!$B$3:$B$44="Motor Cab")*(Raw_Fuel_Detail!$C$1:$AL$1=D$4)*Raw_Fuel_Detail!$C$3:$AL$44)</f>
        <v>60917</v>
      </c>
      <c r="E24" s="5" t="n">
        <f aca="false">SUMPRODUCT((Raw_Fuel_Detail!$A$3:$A$44=$A24)*(Raw_Fuel_Detail!$B$3:$B$44="Motor Cab")*(Raw_Fuel_Detail!$C$1:$AL$1=E$4)*Raw_Fuel_Detail!$C$3:$AL$44)</f>
        <v>32871</v>
      </c>
      <c r="F24" s="5" t="n">
        <f aca="false">SUMPRODUCT((Raw_Fuel_Detail!$A$3:$A$44=$A24)*(Raw_Fuel_Detail!$B$3:$B$44="Motor Cab")*(Raw_Fuel_Detail!$C$1:$AL$1=F$4)*Raw_Fuel_Detail!$C$3:$AL$44)</f>
        <v>153072</v>
      </c>
      <c r="G24" s="5" t="n">
        <f aca="false">SUMPRODUCT((Raw_Fuel_Detail!$A$3:$A$44=$A24)*(Raw_Fuel_Detail!$B$3:$B$44="Motor Cab")*(Raw_Fuel_Detail!$C$1:$AL$1=G$4)*Raw_Fuel_Detail!$C$3:$AL$44)</f>
        <v>235</v>
      </c>
      <c r="H24" s="5" t="n">
        <f aca="false">SUMPRODUCT((Raw_Fuel_Detail!$A$3:$A$44=$A24)*(Raw_Fuel_Detail!$B$3:$B$44="Motor Cab")*(Raw_Fuel_Detail!$C$1:$AL$1=H$4)*Raw_Fuel_Detail!$C$3:$AL$44)</f>
        <v>69</v>
      </c>
      <c r="I24" s="5" t="n">
        <f aca="false">SUM(B24:H24)</f>
        <v>267389</v>
      </c>
      <c r="J24" s="6" t="n">
        <f aca="false">IF($I24=0,0,B24/$I24)</f>
        <v>0.0436554981693338</v>
      </c>
      <c r="K24" s="6" t="n">
        <f aca="false">IF($I24=0,0,C24/$I24)</f>
        <v>0.031983365059894</v>
      </c>
      <c r="L24" s="6" t="n">
        <f aca="false">IF($I24=0,0,D24/$I24)</f>
        <v>0.227821638137695</v>
      </c>
      <c r="M24" s="6" t="n">
        <f aca="false">IF($I24=0,0,E24/$I24)</f>
        <v>0.122933254546747</v>
      </c>
      <c r="N24" s="6" t="n">
        <f aca="false">IF($I24=0,0,F24/$I24)</f>
        <v>0.572469323719375</v>
      </c>
    </row>
    <row r="25" customFormat="false" ht="15" hidden="false" customHeight="false" outlineLevel="0" collapsed="false">
      <c r="A25" s="4" t="s">
        <v>36</v>
      </c>
      <c r="B25" s="5" t="n">
        <f aca="false">SUMPRODUCT((Raw_Fuel_Detail!$A$3:$A$44=$A25)*(Raw_Fuel_Detail!$B$3:$B$44="Motor Cab")*(Raw_Fuel_Detail!$C$1:$AL$1=B$4)*Raw_Fuel_Detail!$C$3:$AL$44)</f>
        <v>8426</v>
      </c>
      <c r="C25" s="5" t="n">
        <f aca="false">SUMPRODUCT((Raw_Fuel_Detail!$A$3:$A$44=$A25)*(Raw_Fuel_Detail!$B$3:$B$44="Motor Cab")*(Raw_Fuel_Detail!$C$1:$AL$1=C$4)*Raw_Fuel_Detail!$C$3:$AL$44)</f>
        <v>12685</v>
      </c>
      <c r="D25" s="5" t="n">
        <f aca="false">SUMPRODUCT((Raw_Fuel_Detail!$A$3:$A$44=$A25)*(Raw_Fuel_Detail!$B$3:$B$44="Motor Cab")*(Raw_Fuel_Detail!$C$1:$AL$1=D$4)*Raw_Fuel_Detail!$C$3:$AL$44)</f>
        <v>51088</v>
      </c>
      <c r="E25" s="5" t="n">
        <f aca="false">SUMPRODUCT((Raw_Fuel_Detail!$A$3:$A$44=$A25)*(Raw_Fuel_Detail!$B$3:$B$44="Motor Cab")*(Raw_Fuel_Detail!$C$1:$AL$1=E$4)*Raw_Fuel_Detail!$C$3:$AL$44)</f>
        <v>31953</v>
      </c>
      <c r="F25" s="5" t="n">
        <f aca="false">SUMPRODUCT((Raw_Fuel_Detail!$A$3:$A$44=$A25)*(Raw_Fuel_Detail!$B$3:$B$44="Motor Cab")*(Raw_Fuel_Detail!$C$1:$AL$1=F$4)*Raw_Fuel_Detail!$C$3:$AL$44)</f>
        <v>200311</v>
      </c>
      <c r="G25" s="5" t="n">
        <f aca="false">SUMPRODUCT((Raw_Fuel_Detail!$A$3:$A$44=$A25)*(Raw_Fuel_Detail!$B$3:$B$44="Motor Cab")*(Raw_Fuel_Detail!$C$1:$AL$1=G$4)*Raw_Fuel_Detail!$C$3:$AL$44)</f>
        <v>374</v>
      </c>
      <c r="H25" s="5" t="n">
        <f aca="false">SUMPRODUCT((Raw_Fuel_Detail!$A$3:$A$44=$A25)*(Raw_Fuel_Detail!$B$3:$B$44="Motor Cab")*(Raw_Fuel_Detail!$C$1:$AL$1=H$4)*Raw_Fuel_Detail!$C$3:$AL$44)</f>
        <v>98</v>
      </c>
      <c r="I25" s="5" t="n">
        <f aca="false">SUM(B25:H25)</f>
        <v>304935</v>
      </c>
      <c r="J25" s="6" t="n">
        <f aca="false">IF($I25=0,0,B25/$I25)</f>
        <v>0.0276321183202978</v>
      </c>
      <c r="K25" s="6" t="n">
        <f aca="false">IF($I25=0,0,C25/$I25)</f>
        <v>0.0415990293013265</v>
      </c>
      <c r="L25" s="6" t="n">
        <f aca="false">IF($I25=0,0,D25/$I25)</f>
        <v>0.167537344024136</v>
      </c>
      <c r="M25" s="6" t="n">
        <f aca="false">IF($I25=0,0,E25/$I25)</f>
        <v>0.104786265925525</v>
      </c>
      <c r="N25" s="6" t="n">
        <f aca="false">IF($I25=0,0,F25/$I25)</f>
        <v>0.656897371570991</v>
      </c>
    </row>
    <row r="26" customFormat="false" ht="15" hidden="false" customHeight="false" outlineLevel="0" collapsed="false">
      <c r="A26" s="7" t="s">
        <v>37</v>
      </c>
      <c r="B26" s="8" t="n">
        <f aca="false">SUM(B5:B25)</f>
        <v>31392</v>
      </c>
      <c r="C26" s="8" t="n">
        <f aca="false">SUM(C5:C25)</f>
        <v>31340</v>
      </c>
      <c r="D26" s="8" t="n">
        <f aca="false">SUM(D5:D25)</f>
        <v>311410</v>
      </c>
      <c r="E26" s="8" t="n">
        <f aca="false">SUM(E5:E25)</f>
        <v>1337928</v>
      </c>
      <c r="F26" s="8" t="n">
        <f aca="false">SUM(F5:F25)</f>
        <v>714323</v>
      </c>
      <c r="G26" s="8" t="n">
        <f aca="false">SUM(G5:G25)</f>
        <v>20803</v>
      </c>
      <c r="H26" s="8" t="n">
        <f aca="false">SUM(H5:H25)</f>
        <v>3850</v>
      </c>
      <c r="I26" s="8" t="n">
        <f aca="false">SUM(I5:I25)</f>
        <v>2451046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f aca="false">SUMPRODUCT((Raw_Fuel_Detail!$A$3:$A$44=$A5)*(Raw_Fuel_Detail!$C$1:$AL$1=B$4)*Raw_Fuel_Detail!$C$3:$AL$44)</f>
        <v>204</v>
      </c>
      <c r="C5" s="5" t="n">
        <f aca="false">SUMPRODUCT((Raw_Fuel_Detail!$A$3:$A$44=$A5)*(Raw_Fuel_Detail!$C$1:$AL$1=C$4)*Raw_Fuel_Detail!$C$3:$AL$44)</f>
        <v>23</v>
      </c>
      <c r="D5" s="5" t="n">
        <f aca="false">SUMPRODUCT((Raw_Fuel_Detail!$A$3:$A$44=$A5)*(Raw_Fuel_Detail!$C$1:$AL$1=D$4)*Raw_Fuel_Detail!$C$3:$AL$44)</f>
        <v>548460</v>
      </c>
      <c r="E5" s="5" t="n">
        <f aca="false">SUMPRODUCT((Raw_Fuel_Detail!$A$3:$A$44=$A5)*(Raw_Fuel_Detail!$C$1:$AL$1=E$4)*Raw_Fuel_Detail!$C$3:$AL$44)</f>
        <v>272388</v>
      </c>
      <c r="F5" s="5" t="n">
        <f aca="false">SUMPRODUCT((Raw_Fuel_Detail!$A$3:$A$44=$A5)*(Raw_Fuel_Detail!$C$1:$AL$1=F$4)*Raw_Fuel_Detail!$C$3:$AL$44)</f>
        <v>55977</v>
      </c>
      <c r="G5" s="5" t="n">
        <f aca="false">SUMPRODUCT((Raw_Fuel_Detail!$A$3:$A$44=$A5)*(Raw_Fuel_Detail!$C$1:$AL$1=G$4)*Raw_Fuel_Detail!$C$3:$AL$44)</f>
        <v>48942</v>
      </c>
      <c r="H5" s="5" t="n">
        <f aca="false">SUMPRODUCT((Raw_Fuel_Detail!$A$3:$A$44=$A5)*(Raw_Fuel_Detail!$C$1:$AL$1=H$4)*Raw_Fuel_Detail!$C$3:$AL$44)</f>
        <v>2106</v>
      </c>
      <c r="I5" s="5" t="n">
        <f aca="false">SUM(B5:H5)</f>
        <v>928100</v>
      </c>
      <c r="J5" s="6" t="n">
        <f aca="false">IF($I5=0,0,B5/$I5)</f>
        <v>0.000219803900441763</v>
      </c>
      <c r="K5" s="6" t="n">
        <f aca="false">IF($I5=0,0,C5/$I5)</f>
        <v>2.47818123047085E-005</v>
      </c>
      <c r="L5" s="6" t="n">
        <f aca="false">IF($I5=0,0,D5/$I5)</f>
        <v>0.59094925115828</v>
      </c>
      <c r="M5" s="6" t="n">
        <f aca="false">IF($I5=0,0,E5/$I5)</f>
        <v>0.293489925654563</v>
      </c>
      <c r="N5" s="6" t="n">
        <f aca="false">IF($I5=0,0,F5/$I5)</f>
        <v>0.0603135437991596</v>
      </c>
    </row>
    <row r="6" customFormat="false" ht="15" hidden="false" customHeight="false" outlineLevel="0" collapsed="false">
      <c r="A6" s="4" t="s">
        <v>17</v>
      </c>
      <c r="B6" s="5" t="n">
        <f aca="false">SUMPRODUCT((Raw_Fuel_Detail!$A$3:$A$44=$A6)*(Raw_Fuel_Detail!$C$1:$AL$1=B$4)*Raw_Fuel_Detail!$C$3:$AL$44)</f>
        <v>182</v>
      </c>
      <c r="C6" s="5" t="n">
        <f aca="false">SUMPRODUCT((Raw_Fuel_Detail!$A$3:$A$44=$A6)*(Raw_Fuel_Detail!$C$1:$AL$1=C$4)*Raw_Fuel_Detail!$C$3:$AL$44)</f>
        <v>19</v>
      </c>
      <c r="D6" s="5" t="n">
        <f aca="false">SUMPRODUCT((Raw_Fuel_Detail!$A$3:$A$44=$A6)*(Raw_Fuel_Detail!$C$1:$AL$1=D$4)*Raw_Fuel_Detail!$C$3:$AL$44)</f>
        <v>611219</v>
      </c>
      <c r="E6" s="5" t="n">
        <f aca="false">SUMPRODUCT((Raw_Fuel_Detail!$A$3:$A$44=$A6)*(Raw_Fuel_Detail!$C$1:$AL$1=E$4)*Raw_Fuel_Detail!$C$3:$AL$44)</f>
        <v>311668</v>
      </c>
      <c r="F6" s="5" t="n">
        <f aca="false">SUMPRODUCT((Raw_Fuel_Detail!$A$3:$A$44=$A6)*(Raw_Fuel_Detail!$C$1:$AL$1=F$4)*Raw_Fuel_Detail!$C$3:$AL$44)</f>
        <v>71001</v>
      </c>
      <c r="G6" s="5" t="n">
        <f aca="false">SUMPRODUCT((Raw_Fuel_Detail!$A$3:$A$44=$A6)*(Raw_Fuel_Detail!$C$1:$AL$1=G$4)*Raw_Fuel_Detail!$C$3:$AL$44)</f>
        <v>50809</v>
      </c>
      <c r="H6" s="5" t="n">
        <f aca="false">SUMPRODUCT((Raw_Fuel_Detail!$A$3:$A$44=$A6)*(Raw_Fuel_Detail!$C$1:$AL$1=H$4)*Raw_Fuel_Detail!$C$3:$AL$44)</f>
        <v>2163</v>
      </c>
      <c r="I6" s="5" t="n">
        <f aca="false">SUM(B6:H6)</f>
        <v>1047061</v>
      </c>
      <c r="J6" s="6" t="n">
        <f aca="false">IF($I6=0,0,B6/$I6)</f>
        <v>0.000173819863408149</v>
      </c>
      <c r="K6" s="6" t="n">
        <f aca="false">IF($I6=0,0,C6/$I6)</f>
        <v>1.81460296964551E-005</v>
      </c>
      <c r="L6" s="6" t="n">
        <f aca="false">IF($I6=0,0,D6/$I6)</f>
        <v>0.583747269738821</v>
      </c>
      <c r="M6" s="6" t="n">
        <f aca="false">IF($I6=0,0,E6/$I6)</f>
        <v>0.297659830707093</v>
      </c>
      <c r="N6" s="6" t="n">
        <f aca="false">IF($I6=0,0,F6/$I6)</f>
        <v>0.0678098028672637</v>
      </c>
    </row>
    <row r="7" customFormat="false" ht="15" hidden="false" customHeight="false" outlineLevel="0" collapsed="false">
      <c r="A7" s="4" t="s">
        <v>18</v>
      </c>
      <c r="B7" s="5" t="n">
        <f aca="false">SUMPRODUCT((Raw_Fuel_Detail!$A$3:$A$44=$A7)*(Raw_Fuel_Detail!$C$1:$AL$1=B$4)*Raw_Fuel_Detail!$C$3:$AL$44)</f>
        <v>246</v>
      </c>
      <c r="C7" s="5" t="n">
        <f aca="false">SUMPRODUCT((Raw_Fuel_Detail!$A$3:$A$44=$A7)*(Raw_Fuel_Detail!$C$1:$AL$1=C$4)*Raw_Fuel_Detail!$C$3:$AL$44)</f>
        <v>25</v>
      </c>
      <c r="D7" s="5" t="n">
        <f aca="false">SUMPRODUCT((Raw_Fuel_Detail!$A$3:$A$44=$A7)*(Raw_Fuel_Detail!$C$1:$AL$1=D$4)*Raw_Fuel_Detail!$C$3:$AL$44)</f>
        <v>716733</v>
      </c>
      <c r="E7" s="5" t="n">
        <f aca="false">SUMPRODUCT((Raw_Fuel_Detail!$A$3:$A$44=$A7)*(Raw_Fuel_Detail!$C$1:$AL$1=E$4)*Raw_Fuel_Detail!$C$3:$AL$44)</f>
        <v>374700</v>
      </c>
      <c r="F7" s="5" t="n">
        <f aca="false">SUMPRODUCT((Raw_Fuel_Detail!$A$3:$A$44=$A7)*(Raw_Fuel_Detail!$C$1:$AL$1=F$4)*Raw_Fuel_Detail!$C$3:$AL$44)</f>
        <v>88630</v>
      </c>
      <c r="G7" s="5" t="n">
        <f aca="false">SUMPRODUCT((Raw_Fuel_Detail!$A$3:$A$44=$A7)*(Raw_Fuel_Detail!$C$1:$AL$1=G$4)*Raw_Fuel_Detail!$C$3:$AL$44)</f>
        <v>73913</v>
      </c>
      <c r="H7" s="5" t="n">
        <f aca="false">SUMPRODUCT((Raw_Fuel_Detail!$A$3:$A$44=$A7)*(Raw_Fuel_Detail!$C$1:$AL$1=H$4)*Raw_Fuel_Detail!$C$3:$AL$44)</f>
        <v>3525</v>
      </c>
      <c r="I7" s="5" t="n">
        <f aca="false">SUM(B7:H7)</f>
        <v>1257772</v>
      </c>
      <c r="J7" s="6" t="n">
        <f aca="false">IF($I7=0,0,B7/$I7)</f>
        <v>0.000195583937311373</v>
      </c>
      <c r="K7" s="6" t="n">
        <f aca="false">IF($I7=0,0,C7/$I7)</f>
        <v>1.98764163934322E-005</v>
      </c>
      <c r="L7" s="6" t="n">
        <f aca="false">IF($I7=0,0,D7/$I7)</f>
        <v>0.569843342036554</v>
      </c>
      <c r="M7" s="6" t="n">
        <f aca="false">IF($I7=0,0,E7/$I7)</f>
        <v>0.297907728904762</v>
      </c>
      <c r="N7" s="6" t="n">
        <f aca="false">IF($I7=0,0,F7/$I7)</f>
        <v>0.0704658713979958</v>
      </c>
    </row>
    <row r="8" customFormat="false" ht="15" hidden="false" customHeight="false" outlineLevel="0" collapsed="false">
      <c r="A8" s="4" t="s">
        <v>19</v>
      </c>
      <c r="B8" s="5" t="n">
        <f aca="false">SUMPRODUCT((Raw_Fuel_Detail!$A$3:$A$44=$A8)*(Raw_Fuel_Detail!$C$1:$AL$1=B$4)*Raw_Fuel_Detail!$C$3:$AL$44)</f>
        <v>341</v>
      </c>
      <c r="C8" s="5" t="n">
        <f aca="false">SUMPRODUCT((Raw_Fuel_Detail!$A$3:$A$44=$A8)*(Raw_Fuel_Detail!$C$1:$AL$1=C$4)*Raw_Fuel_Detail!$C$3:$AL$44)</f>
        <v>20</v>
      </c>
      <c r="D8" s="5" t="n">
        <f aca="false">SUMPRODUCT((Raw_Fuel_Detail!$A$3:$A$44=$A8)*(Raw_Fuel_Detail!$C$1:$AL$1=D$4)*Raw_Fuel_Detail!$C$3:$AL$44)</f>
        <v>786708</v>
      </c>
      <c r="E8" s="5" t="n">
        <f aca="false">SUMPRODUCT((Raw_Fuel_Detail!$A$3:$A$44=$A8)*(Raw_Fuel_Detail!$C$1:$AL$1=E$4)*Raw_Fuel_Detail!$C$3:$AL$44)</f>
        <v>466799</v>
      </c>
      <c r="F8" s="5" t="n">
        <f aca="false">SUMPRODUCT((Raw_Fuel_Detail!$A$3:$A$44=$A8)*(Raw_Fuel_Detail!$C$1:$AL$1=F$4)*Raw_Fuel_Detail!$C$3:$AL$44)</f>
        <v>106273</v>
      </c>
      <c r="G8" s="5" t="n">
        <f aca="false">SUMPRODUCT((Raw_Fuel_Detail!$A$3:$A$44=$A8)*(Raw_Fuel_Detail!$C$1:$AL$1=G$4)*Raw_Fuel_Detail!$C$3:$AL$44)</f>
        <v>85388</v>
      </c>
      <c r="H8" s="5" t="n">
        <f aca="false">SUMPRODUCT((Raw_Fuel_Detail!$A$3:$A$44=$A8)*(Raw_Fuel_Detail!$C$1:$AL$1=H$4)*Raw_Fuel_Detail!$C$3:$AL$44)</f>
        <v>3152</v>
      </c>
      <c r="I8" s="5" t="n">
        <f aca="false">SUM(B8:H8)</f>
        <v>1448681</v>
      </c>
      <c r="J8" s="6" t="n">
        <f aca="false">IF($I8=0,0,B8/$I8)</f>
        <v>0.000235386534371611</v>
      </c>
      <c r="K8" s="6" t="n">
        <f aca="false">IF($I8=0,0,C8/$I8)</f>
        <v>1.38056618399772E-005</v>
      </c>
      <c r="L8" s="6" t="n">
        <f aca="false">IF($I8=0,0,D8/$I8)</f>
        <v>0.543051230740239</v>
      </c>
      <c r="M8" s="6" t="n">
        <f aca="false">IF($I8=0,0,E8/$I8)</f>
        <v>0.322223457061976</v>
      </c>
      <c r="N8" s="6" t="n">
        <f aca="false">IF($I8=0,0,F8/$I8)</f>
        <v>0.0733584550359948</v>
      </c>
    </row>
    <row r="9" customFormat="false" ht="15" hidden="false" customHeight="false" outlineLevel="0" collapsed="false">
      <c r="A9" s="4" t="s">
        <v>20</v>
      </c>
      <c r="B9" s="5" t="n">
        <f aca="false">SUMPRODUCT((Raw_Fuel_Detail!$A$3:$A$44=$A9)*(Raw_Fuel_Detail!$C$1:$AL$1=B$4)*Raw_Fuel_Detail!$C$3:$AL$44)</f>
        <v>494</v>
      </c>
      <c r="C9" s="5" t="n">
        <f aca="false">SUMPRODUCT((Raw_Fuel_Detail!$A$3:$A$44=$A9)*(Raw_Fuel_Detail!$C$1:$AL$1=C$4)*Raw_Fuel_Detail!$C$3:$AL$44)</f>
        <v>22</v>
      </c>
      <c r="D9" s="5" t="n">
        <f aca="false">SUMPRODUCT((Raw_Fuel_Detail!$A$3:$A$44=$A9)*(Raw_Fuel_Detail!$C$1:$AL$1=D$4)*Raw_Fuel_Detail!$C$3:$AL$44)</f>
        <v>791224</v>
      </c>
      <c r="E9" s="5" t="n">
        <f aca="false">SUMPRODUCT((Raw_Fuel_Detail!$A$3:$A$44=$A9)*(Raw_Fuel_Detail!$C$1:$AL$1=E$4)*Raw_Fuel_Detail!$C$3:$AL$44)</f>
        <v>534668</v>
      </c>
      <c r="F9" s="5" t="n">
        <f aca="false">SUMPRODUCT((Raw_Fuel_Detail!$A$3:$A$44=$A9)*(Raw_Fuel_Detail!$C$1:$AL$1=F$4)*Raw_Fuel_Detail!$C$3:$AL$44)</f>
        <v>105130</v>
      </c>
      <c r="G9" s="5" t="n">
        <f aca="false">SUMPRODUCT((Raw_Fuel_Detail!$A$3:$A$44=$A9)*(Raw_Fuel_Detail!$C$1:$AL$1=G$4)*Raw_Fuel_Detail!$C$3:$AL$44)</f>
        <v>83157</v>
      </c>
      <c r="H9" s="5" t="n">
        <f aca="false">SUMPRODUCT((Raw_Fuel_Detail!$A$3:$A$44=$A9)*(Raw_Fuel_Detail!$C$1:$AL$1=H$4)*Raw_Fuel_Detail!$C$3:$AL$44)</f>
        <v>2744</v>
      </c>
      <c r="I9" s="5" t="n">
        <f aca="false">SUM(B9:H9)</f>
        <v>1517439</v>
      </c>
      <c r="J9" s="6" t="n">
        <f aca="false">IF($I9=0,0,B9/$I9)</f>
        <v>0.000325548506397951</v>
      </c>
      <c r="K9" s="6" t="n">
        <f aca="false">IF($I9=0,0,C9/$I9)</f>
        <v>1.44981116209614E-005</v>
      </c>
      <c r="L9" s="6" t="n">
        <f aca="false">IF($I9=0,0,D9/$I9)</f>
        <v>0.521420630417434</v>
      </c>
      <c r="M9" s="6" t="n">
        <f aca="false">IF($I9=0,0,E9/$I9)</f>
        <v>0.352348924734372</v>
      </c>
      <c r="N9" s="6" t="n">
        <f aca="false">IF($I9=0,0,F9/$I9)</f>
        <v>0.0692812033959849</v>
      </c>
    </row>
    <row r="10" customFormat="false" ht="15" hidden="false" customHeight="false" outlineLevel="0" collapsed="false">
      <c r="A10" s="4" t="s">
        <v>21</v>
      </c>
      <c r="B10" s="5" t="n">
        <f aca="false">SUMPRODUCT((Raw_Fuel_Detail!$A$3:$A$44=$A10)*(Raw_Fuel_Detail!$C$1:$AL$1=B$4)*Raw_Fuel_Detail!$C$3:$AL$44)</f>
        <v>272</v>
      </c>
      <c r="C10" s="5" t="n">
        <f aca="false">SUMPRODUCT((Raw_Fuel_Detail!$A$3:$A$44=$A10)*(Raw_Fuel_Detail!$C$1:$AL$1=C$4)*Raw_Fuel_Detail!$C$3:$AL$44)</f>
        <v>38</v>
      </c>
      <c r="D10" s="5" t="n">
        <f aca="false">SUMPRODUCT((Raw_Fuel_Detail!$A$3:$A$44=$A10)*(Raw_Fuel_Detail!$C$1:$AL$1=D$4)*Raw_Fuel_Detail!$C$3:$AL$44)</f>
        <v>981717</v>
      </c>
      <c r="E10" s="5" t="n">
        <f aca="false">SUMPRODUCT((Raw_Fuel_Detail!$A$3:$A$44=$A10)*(Raw_Fuel_Detail!$C$1:$AL$1=E$4)*Raw_Fuel_Detail!$C$3:$AL$44)</f>
        <v>672890</v>
      </c>
      <c r="F10" s="5" t="n">
        <f aca="false">SUMPRODUCT((Raw_Fuel_Detail!$A$3:$A$44=$A10)*(Raw_Fuel_Detail!$C$1:$AL$1=F$4)*Raw_Fuel_Detail!$C$3:$AL$44)</f>
        <v>130581</v>
      </c>
      <c r="G10" s="5" t="n">
        <f aca="false">SUMPRODUCT((Raw_Fuel_Detail!$A$3:$A$44=$A10)*(Raw_Fuel_Detail!$C$1:$AL$1=G$4)*Raw_Fuel_Detail!$C$3:$AL$44)</f>
        <v>96083</v>
      </c>
      <c r="H10" s="5" t="n">
        <f aca="false">SUMPRODUCT((Raw_Fuel_Detail!$A$3:$A$44=$A10)*(Raw_Fuel_Detail!$C$1:$AL$1=H$4)*Raw_Fuel_Detail!$C$3:$AL$44)</f>
        <v>2782</v>
      </c>
      <c r="I10" s="5" t="n">
        <f aca="false">SUM(B10:H10)</f>
        <v>1884363</v>
      </c>
      <c r="J10" s="6" t="n">
        <f aca="false">IF($I10=0,0,B10/$I10)</f>
        <v>0.000144345861174307</v>
      </c>
      <c r="K10" s="6" t="n">
        <f aca="false">IF($I10=0,0,C10/$I10)</f>
        <v>2.01659658993517E-005</v>
      </c>
      <c r="L10" s="6" t="n">
        <f aca="false">IF($I10=0,0,D10/$I10)</f>
        <v>0.520980830126679</v>
      </c>
      <c r="M10" s="6" t="n">
        <f aca="false">IF($I10=0,0,E10/$I10)</f>
        <v>0.357091494579335</v>
      </c>
      <c r="N10" s="6" t="n">
        <f aca="false">IF($I10=0,0,F10/$I10)</f>
        <v>0.0692971577132431</v>
      </c>
    </row>
    <row r="11" customFormat="false" ht="15" hidden="false" customHeight="false" outlineLevel="0" collapsed="false">
      <c r="A11" s="4" t="s">
        <v>22</v>
      </c>
      <c r="B11" s="5" t="n">
        <f aca="false">SUMPRODUCT((Raw_Fuel_Detail!$A$3:$A$44=$A11)*(Raw_Fuel_Detail!$C$1:$AL$1=B$4)*Raw_Fuel_Detail!$C$3:$AL$44)</f>
        <v>387</v>
      </c>
      <c r="C11" s="5" t="n">
        <f aca="false">SUMPRODUCT((Raw_Fuel_Detail!$A$3:$A$44=$A11)*(Raw_Fuel_Detail!$C$1:$AL$1=C$4)*Raw_Fuel_Detail!$C$3:$AL$44)</f>
        <v>27</v>
      </c>
      <c r="D11" s="5" t="n">
        <f aca="false">SUMPRODUCT((Raw_Fuel_Detail!$A$3:$A$44=$A11)*(Raw_Fuel_Detail!$C$1:$AL$1=D$4)*Raw_Fuel_Detail!$C$3:$AL$44)</f>
        <v>1204650</v>
      </c>
      <c r="E11" s="5" t="n">
        <f aca="false">SUMPRODUCT((Raw_Fuel_Detail!$A$3:$A$44=$A11)*(Raw_Fuel_Detail!$C$1:$AL$1=E$4)*Raw_Fuel_Detail!$C$3:$AL$44)</f>
        <v>847935</v>
      </c>
      <c r="F11" s="5" t="n">
        <f aca="false">SUMPRODUCT((Raw_Fuel_Detail!$A$3:$A$44=$A11)*(Raw_Fuel_Detail!$C$1:$AL$1=F$4)*Raw_Fuel_Detail!$C$3:$AL$44)</f>
        <v>186365</v>
      </c>
      <c r="G11" s="5" t="n">
        <f aca="false">SUMPRODUCT((Raw_Fuel_Detail!$A$3:$A$44=$A11)*(Raw_Fuel_Detail!$C$1:$AL$1=G$4)*Raw_Fuel_Detail!$C$3:$AL$44)</f>
        <v>83722</v>
      </c>
      <c r="H11" s="5" t="n">
        <f aca="false">SUMPRODUCT((Raw_Fuel_Detail!$A$3:$A$44=$A11)*(Raw_Fuel_Detail!$C$1:$AL$1=H$4)*Raw_Fuel_Detail!$C$3:$AL$44)</f>
        <v>2733</v>
      </c>
      <c r="I11" s="5" t="n">
        <f aca="false">SUM(B11:H11)</f>
        <v>2325819</v>
      </c>
      <c r="J11" s="6" t="n">
        <f aca="false">IF($I11=0,0,B11/$I11)</f>
        <v>0.000166392999627228</v>
      </c>
      <c r="K11" s="6" t="n">
        <f aca="false">IF($I11=0,0,C11/$I11)</f>
        <v>1.1608813927481E-005</v>
      </c>
      <c r="L11" s="6" t="n">
        <f aca="false">IF($I11=0,0,D11/$I11)</f>
        <v>0.517946581397779</v>
      </c>
      <c r="M11" s="6" t="n">
        <f aca="false">IF($I11=0,0,E11/$I11)</f>
        <v>0.364574801392542</v>
      </c>
      <c r="N11" s="6" t="n">
        <f aca="false">IF($I11=0,0,F11/$I11)</f>
        <v>0.0801287632442593</v>
      </c>
    </row>
    <row r="12" customFormat="false" ht="15" hidden="false" customHeight="false" outlineLevel="0" collapsed="false">
      <c r="A12" s="4" t="s">
        <v>23</v>
      </c>
      <c r="B12" s="5" t="n">
        <f aca="false">SUMPRODUCT((Raw_Fuel_Detail!$A$3:$A$44=$A12)*(Raw_Fuel_Detail!$C$1:$AL$1=B$4)*Raw_Fuel_Detail!$C$3:$AL$44)</f>
        <v>685</v>
      </c>
      <c r="C12" s="5" t="n">
        <f aca="false">SUMPRODUCT((Raw_Fuel_Detail!$A$3:$A$44=$A12)*(Raw_Fuel_Detail!$C$1:$AL$1=C$4)*Raw_Fuel_Detail!$C$3:$AL$44)</f>
        <v>22</v>
      </c>
      <c r="D12" s="5" t="n">
        <f aca="false">SUMPRODUCT((Raw_Fuel_Detail!$A$3:$A$44=$A12)*(Raw_Fuel_Detail!$C$1:$AL$1=D$4)*Raw_Fuel_Detail!$C$3:$AL$44)</f>
        <v>1118207</v>
      </c>
      <c r="E12" s="5" t="n">
        <f aca="false">SUMPRODUCT((Raw_Fuel_Detail!$A$3:$A$44=$A12)*(Raw_Fuel_Detail!$C$1:$AL$1=E$4)*Raw_Fuel_Detail!$C$3:$AL$44)</f>
        <v>1144966</v>
      </c>
      <c r="F12" s="5" t="n">
        <f aca="false">SUMPRODUCT((Raw_Fuel_Detail!$A$3:$A$44=$A12)*(Raw_Fuel_Detail!$C$1:$AL$1=F$4)*Raw_Fuel_Detail!$C$3:$AL$44)</f>
        <v>194309</v>
      </c>
      <c r="G12" s="5" t="n">
        <f aca="false">SUMPRODUCT((Raw_Fuel_Detail!$A$3:$A$44=$A12)*(Raw_Fuel_Detail!$C$1:$AL$1=G$4)*Raw_Fuel_Detail!$C$3:$AL$44)</f>
        <v>85235</v>
      </c>
      <c r="H12" s="5" t="n">
        <f aca="false">SUMPRODUCT((Raw_Fuel_Detail!$A$3:$A$44=$A12)*(Raw_Fuel_Detail!$C$1:$AL$1=H$4)*Raw_Fuel_Detail!$C$3:$AL$44)</f>
        <v>2794</v>
      </c>
      <c r="I12" s="5" t="n">
        <f aca="false">SUM(B12:H12)</f>
        <v>2546218</v>
      </c>
      <c r="J12" s="6" t="n">
        <f aca="false">IF($I12=0,0,B12/$I12)</f>
        <v>0.000269026454137077</v>
      </c>
      <c r="K12" s="6" t="n">
        <f aca="false">IF($I12=0,0,C12/$I12)</f>
        <v>8.64026568031488E-006</v>
      </c>
      <c r="L12" s="6" t="n">
        <f aca="false">IF($I12=0,0,D12/$I12)</f>
        <v>0.439163889344903</v>
      </c>
      <c r="M12" s="6" t="n">
        <f aca="false">IF($I12=0,0,E12/$I12)</f>
        <v>0.44967320158761</v>
      </c>
      <c r="N12" s="6" t="n">
        <f aca="false">IF($I12=0,0,F12/$I12)</f>
        <v>0.0763127901852866</v>
      </c>
    </row>
    <row r="13" customFormat="false" ht="15" hidden="false" customHeight="false" outlineLevel="0" collapsed="false">
      <c r="A13" s="4" t="s">
        <v>24</v>
      </c>
      <c r="B13" s="5" t="n">
        <f aca="false">SUMPRODUCT((Raw_Fuel_Detail!$A$3:$A$44=$A13)*(Raw_Fuel_Detail!$C$1:$AL$1=B$4)*Raw_Fuel_Detail!$C$3:$AL$44)</f>
        <v>216</v>
      </c>
      <c r="C13" s="5" t="n">
        <f aca="false">SUMPRODUCT((Raw_Fuel_Detail!$A$3:$A$44=$A13)*(Raw_Fuel_Detail!$C$1:$AL$1=C$4)*Raw_Fuel_Detail!$C$3:$AL$44)</f>
        <v>41</v>
      </c>
      <c r="D13" s="5" t="n">
        <f aca="false">SUMPRODUCT((Raw_Fuel_Detail!$A$3:$A$44=$A13)*(Raw_Fuel_Detail!$C$1:$AL$1=D$4)*Raw_Fuel_Detail!$C$3:$AL$44)</f>
        <v>940914</v>
      </c>
      <c r="E13" s="5" t="n">
        <f aca="false">SUMPRODUCT((Raw_Fuel_Detail!$A$3:$A$44=$A13)*(Raw_Fuel_Detail!$C$1:$AL$1=E$4)*Raw_Fuel_Detail!$C$3:$AL$44)</f>
        <v>1427189</v>
      </c>
      <c r="F13" s="5" t="n">
        <f aca="false">SUMPRODUCT((Raw_Fuel_Detail!$A$3:$A$44=$A13)*(Raw_Fuel_Detail!$C$1:$AL$1=F$4)*Raw_Fuel_Detail!$C$3:$AL$44)</f>
        <v>158068</v>
      </c>
      <c r="G13" s="5" t="n">
        <f aca="false">SUMPRODUCT((Raw_Fuel_Detail!$A$3:$A$44=$A13)*(Raw_Fuel_Detail!$C$1:$AL$1=G$4)*Raw_Fuel_Detail!$C$3:$AL$44)</f>
        <v>64540</v>
      </c>
      <c r="H13" s="5" t="n">
        <f aca="false">SUMPRODUCT((Raw_Fuel_Detail!$A$3:$A$44=$A13)*(Raw_Fuel_Detail!$C$1:$AL$1=H$4)*Raw_Fuel_Detail!$C$3:$AL$44)</f>
        <v>2521</v>
      </c>
      <c r="I13" s="5" t="n">
        <f aca="false">SUM(B13:H13)</f>
        <v>2593489</v>
      </c>
      <c r="J13" s="6" t="n">
        <f aca="false">IF($I13=0,0,B13/$I13)</f>
        <v>8.32854891615118E-005</v>
      </c>
      <c r="K13" s="6" t="n">
        <f aca="false">IF($I13=0,0,C13/$I13)</f>
        <v>1.58088197019536E-005</v>
      </c>
      <c r="L13" s="6" t="n">
        <f aca="false">IF($I13=0,0,D13/$I13)</f>
        <v>0.362798531244975</v>
      </c>
      <c r="M13" s="6" t="n">
        <f aca="false">IF($I13=0,0,E13/$I13)</f>
        <v>0.550296916624671</v>
      </c>
      <c r="N13" s="6" t="n">
        <f aca="false">IF($I13=0,0,F13/$I13)</f>
        <v>0.0609480125036196</v>
      </c>
    </row>
    <row r="14" customFormat="false" ht="15" hidden="false" customHeight="false" outlineLevel="0" collapsed="false">
      <c r="A14" s="4" t="s">
        <v>25</v>
      </c>
      <c r="B14" s="5" t="n">
        <f aca="false">SUMPRODUCT((Raw_Fuel_Detail!$A$3:$A$44=$A14)*(Raw_Fuel_Detail!$C$1:$AL$1=B$4)*Raw_Fuel_Detail!$C$3:$AL$44)</f>
        <v>447</v>
      </c>
      <c r="C14" s="5" t="n">
        <f aca="false">SUMPRODUCT((Raw_Fuel_Detail!$A$3:$A$44=$A14)*(Raw_Fuel_Detail!$C$1:$AL$1=C$4)*Raw_Fuel_Detail!$C$3:$AL$44)</f>
        <v>23</v>
      </c>
      <c r="D14" s="5" t="n">
        <f aca="false">SUMPRODUCT((Raw_Fuel_Detail!$A$3:$A$44=$A14)*(Raw_Fuel_Detail!$C$1:$AL$1=D$4)*Raw_Fuel_Detail!$C$3:$AL$44)</f>
        <v>965291</v>
      </c>
      <c r="E14" s="5" t="n">
        <f aca="false">SUMPRODUCT((Raw_Fuel_Detail!$A$3:$A$44=$A14)*(Raw_Fuel_Detail!$C$1:$AL$1=E$4)*Raw_Fuel_Detail!$C$3:$AL$44)</f>
        <v>1313977</v>
      </c>
      <c r="F14" s="5" t="n">
        <f aca="false">SUMPRODUCT((Raw_Fuel_Detail!$A$3:$A$44=$A14)*(Raw_Fuel_Detail!$C$1:$AL$1=F$4)*Raw_Fuel_Detail!$C$3:$AL$44)</f>
        <v>143753</v>
      </c>
      <c r="G14" s="5" t="n">
        <f aca="false">SUMPRODUCT((Raw_Fuel_Detail!$A$3:$A$44=$A14)*(Raw_Fuel_Detail!$C$1:$AL$1=G$4)*Raw_Fuel_Detail!$C$3:$AL$44)</f>
        <v>37397</v>
      </c>
      <c r="H14" s="5" t="n">
        <f aca="false">SUMPRODUCT((Raw_Fuel_Detail!$A$3:$A$44=$A14)*(Raw_Fuel_Detail!$C$1:$AL$1=H$4)*Raw_Fuel_Detail!$C$3:$AL$44)</f>
        <v>1920</v>
      </c>
      <c r="I14" s="5" t="n">
        <f aca="false">SUM(B14:H14)</f>
        <v>2462808</v>
      </c>
      <c r="J14" s="6" t="n">
        <f aca="false">IF($I14=0,0,B14/$I14)</f>
        <v>0.000181500141302123</v>
      </c>
      <c r="K14" s="6" t="n">
        <f aca="false">IF($I14=0,0,C14/$I14)</f>
        <v>9.3389334450757E-006</v>
      </c>
      <c r="L14" s="6" t="n">
        <f aca="false">IF($I14=0,0,D14/$I14)</f>
        <v>0.39194732191872</v>
      </c>
      <c r="M14" s="6" t="n">
        <f aca="false">IF($I14=0,0,E14/$I14)</f>
        <v>0.533527989189575</v>
      </c>
      <c r="N14" s="6" t="n">
        <f aca="false">IF($I14=0,0,F14/$I14)</f>
        <v>0.0583695521534769</v>
      </c>
    </row>
    <row r="15" customFormat="false" ht="15" hidden="false" customHeight="false" outlineLevel="0" collapsed="false">
      <c r="A15" s="4" t="s">
        <v>26</v>
      </c>
      <c r="B15" s="5" t="n">
        <f aca="false">SUMPRODUCT((Raw_Fuel_Detail!$A$3:$A$44=$A15)*(Raw_Fuel_Detail!$C$1:$AL$1=B$4)*Raw_Fuel_Detail!$C$3:$AL$44)</f>
        <v>580</v>
      </c>
      <c r="C15" s="5" t="n">
        <f aca="false">SUMPRODUCT((Raw_Fuel_Detail!$A$3:$A$44=$A15)*(Raw_Fuel_Detail!$C$1:$AL$1=C$4)*Raw_Fuel_Detail!$C$3:$AL$44)</f>
        <v>23</v>
      </c>
      <c r="D15" s="5" t="n">
        <f aca="false">SUMPRODUCT((Raw_Fuel_Detail!$A$3:$A$44=$A15)*(Raw_Fuel_Detail!$C$1:$AL$1=D$4)*Raw_Fuel_Detail!$C$3:$AL$44)</f>
        <v>1131966</v>
      </c>
      <c r="E15" s="5" t="n">
        <f aca="false">SUMPRODUCT((Raw_Fuel_Detail!$A$3:$A$44=$A15)*(Raw_Fuel_Detail!$C$1:$AL$1=E$4)*Raw_Fuel_Detail!$C$3:$AL$44)</f>
        <v>1263103</v>
      </c>
      <c r="F15" s="5" t="n">
        <f aca="false">SUMPRODUCT((Raw_Fuel_Detail!$A$3:$A$44=$A15)*(Raw_Fuel_Detail!$C$1:$AL$1=F$4)*Raw_Fuel_Detail!$C$3:$AL$44)</f>
        <v>170725</v>
      </c>
      <c r="G15" s="5" t="n">
        <f aca="false">SUMPRODUCT((Raw_Fuel_Detail!$A$3:$A$44=$A15)*(Raw_Fuel_Detail!$C$1:$AL$1=G$4)*Raw_Fuel_Detail!$C$3:$AL$44)</f>
        <v>39423</v>
      </c>
      <c r="H15" s="5" t="n">
        <f aca="false">SUMPRODUCT((Raw_Fuel_Detail!$A$3:$A$44=$A15)*(Raw_Fuel_Detail!$C$1:$AL$1=H$4)*Raw_Fuel_Detail!$C$3:$AL$44)</f>
        <v>1376</v>
      </c>
      <c r="I15" s="5" t="n">
        <f aca="false">SUM(B15:H15)</f>
        <v>2607196</v>
      </c>
      <c r="J15" s="6" t="n">
        <f aca="false">IF($I15=0,0,B15/$I15)</f>
        <v>0.000222461218872689</v>
      </c>
      <c r="K15" s="6" t="n">
        <f aca="false">IF($I15=0,0,C15/$I15)</f>
        <v>8.82173798977906E-006</v>
      </c>
      <c r="L15" s="6" t="n">
        <f aca="false">IF($I15=0,0,D15/$I15)</f>
        <v>0.434169889797315</v>
      </c>
      <c r="M15" s="6" t="n">
        <f aca="false">IF($I15=0,0,E15/$I15)</f>
        <v>0.484467987830604</v>
      </c>
      <c r="N15" s="6" t="n">
        <f aca="false">IF($I15=0,0,F15/$I15)</f>
        <v>0.0654822268828274</v>
      </c>
    </row>
    <row r="16" customFormat="false" ht="15" hidden="false" customHeight="false" outlineLevel="0" collapsed="false">
      <c r="A16" s="4" t="s">
        <v>27</v>
      </c>
      <c r="B16" s="5" t="n">
        <f aca="false">SUMPRODUCT((Raw_Fuel_Detail!$A$3:$A$44=$A16)*(Raw_Fuel_Detail!$C$1:$AL$1=B$4)*Raw_Fuel_Detail!$C$3:$AL$44)</f>
        <v>804</v>
      </c>
      <c r="C16" s="5" t="n">
        <f aca="false">SUMPRODUCT((Raw_Fuel_Detail!$A$3:$A$44=$A16)*(Raw_Fuel_Detail!$C$1:$AL$1=C$4)*Raw_Fuel_Detail!$C$3:$AL$44)</f>
        <v>1975</v>
      </c>
      <c r="D16" s="5" t="n">
        <f aca="false">SUMPRODUCT((Raw_Fuel_Detail!$A$3:$A$44=$A16)*(Raw_Fuel_Detail!$C$1:$AL$1=D$4)*Raw_Fuel_Detail!$C$3:$AL$44)</f>
        <v>1300048</v>
      </c>
      <c r="E16" s="5" t="n">
        <f aca="false">SUMPRODUCT((Raw_Fuel_Detail!$A$3:$A$44=$A16)*(Raw_Fuel_Detail!$C$1:$AL$1=E$4)*Raw_Fuel_Detail!$C$3:$AL$44)</f>
        <v>1225405</v>
      </c>
      <c r="F16" s="5" t="n">
        <f aca="false">SUMPRODUCT((Raw_Fuel_Detail!$A$3:$A$44=$A16)*(Raw_Fuel_Detail!$C$1:$AL$1=F$4)*Raw_Fuel_Detail!$C$3:$AL$44)</f>
        <v>191559</v>
      </c>
      <c r="G16" s="5" t="n">
        <f aca="false">SUMPRODUCT((Raw_Fuel_Detail!$A$3:$A$44=$A16)*(Raw_Fuel_Detail!$C$1:$AL$1=G$4)*Raw_Fuel_Detail!$C$3:$AL$44)</f>
        <v>29566</v>
      </c>
      <c r="H16" s="5" t="n">
        <f aca="false">SUMPRODUCT((Raw_Fuel_Detail!$A$3:$A$44=$A16)*(Raw_Fuel_Detail!$C$1:$AL$1=H$4)*Raw_Fuel_Detail!$C$3:$AL$44)</f>
        <v>3194</v>
      </c>
      <c r="I16" s="5" t="n">
        <f aca="false">SUM(B16:H16)</f>
        <v>2752551</v>
      </c>
      <c r="J16" s="6" t="n">
        <f aca="false">IF($I16=0,0,B16/$I16)</f>
        <v>0.000292092680571586</v>
      </c>
      <c r="K16" s="6" t="n">
        <f aca="false">IF($I16=0,0,C16/$I16)</f>
        <v>0.000717516224040899</v>
      </c>
      <c r="L16" s="6" t="n">
        <f aca="false">IF($I16=0,0,D16/$I16)</f>
        <v>0.472306598497176</v>
      </c>
      <c r="M16" s="6" t="n">
        <f aca="false">IF($I16=0,0,E16/$I16)</f>
        <v>0.445188844820677</v>
      </c>
      <c r="N16" s="6" t="n">
        <f aca="false">IF($I16=0,0,F16/$I16)</f>
        <v>0.0695932609423041</v>
      </c>
    </row>
    <row r="17" customFormat="false" ht="15" hidden="false" customHeight="false" outlineLevel="0" collapsed="false">
      <c r="A17" s="4" t="s">
        <v>28</v>
      </c>
      <c r="B17" s="5" t="n">
        <f aca="false">SUMPRODUCT((Raw_Fuel_Detail!$A$3:$A$44=$A17)*(Raw_Fuel_Detail!$C$1:$AL$1=B$4)*Raw_Fuel_Detail!$C$3:$AL$44)</f>
        <v>778</v>
      </c>
      <c r="C17" s="5" t="n">
        <f aca="false">SUMPRODUCT((Raw_Fuel_Detail!$A$3:$A$44=$A17)*(Raw_Fuel_Detail!$C$1:$AL$1=C$4)*Raw_Fuel_Detail!$C$3:$AL$44)</f>
        <v>19937</v>
      </c>
      <c r="D17" s="5" t="n">
        <f aca="false">SUMPRODUCT((Raw_Fuel_Detail!$A$3:$A$44=$A17)*(Raw_Fuel_Detail!$C$1:$AL$1=D$4)*Raw_Fuel_Detail!$C$3:$AL$44)</f>
        <v>1484985</v>
      </c>
      <c r="E17" s="5" t="n">
        <f aca="false">SUMPRODUCT((Raw_Fuel_Detail!$A$3:$A$44=$A17)*(Raw_Fuel_Detail!$C$1:$AL$1=E$4)*Raw_Fuel_Detail!$C$3:$AL$44)</f>
        <v>1209703</v>
      </c>
      <c r="F17" s="5" t="n">
        <f aca="false">SUMPRODUCT((Raw_Fuel_Detail!$A$3:$A$44=$A17)*(Raw_Fuel_Detail!$C$1:$AL$1=F$4)*Raw_Fuel_Detail!$C$3:$AL$44)</f>
        <v>240831</v>
      </c>
      <c r="G17" s="5" t="n">
        <f aca="false">SUMPRODUCT((Raw_Fuel_Detail!$A$3:$A$44=$A17)*(Raw_Fuel_Detail!$C$1:$AL$1=G$4)*Raw_Fuel_Detail!$C$3:$AL$44)</f>
        <v>29325</v>
      </c>
      <c r="H17" s="5" t="n">
        <f aca="false">SUMPRODUCT((Raw_Fuel_Detail!$A$3:$A$44=$A17)*(Raw_Fuel_Detail!$C$1:$AL$1=H$4)*Raw_Fuel_Detail!$C$3:$AL$44)</f>
        <v>4275</v>
      </c>
      <c r="I17" s="5" t="n">
        <f aca="false">SUM(B17:H17)</f>
        <v>2989834</v>
      </c>
      <c r="J17" s="6" t="n">
        <f aca="false">IF($I17=0,0,B17/$I17)</f>
        <v>0.000260215115621804</v>
      </c>
      <c r="K17" s="6" t="n">
        <f aca="false">IF($I17=0,0,C17/$I17)</f>
        <v>0.00666826318785592</v>
      </c>
      <c r="L17" s="6" t="n">
        <f aca="false">IF($I17=0,0,D17/$I17)</f>
        <v>0.496678076441702</v>
      </c>
      <c r="M17" s="6" t="n">
        <f aca="false">IF($I17=0,0,E17/$I17)</f>
        <v>0.40460540618643</v>
      </c>
      <c r="N17" s="6" t="n">
        <f aca="false">IF($I17=0,0,F17/$I17)</f>
        <v>0.0805499569541319</v>
      </c>
    </row>
    <row r="18" customFormat="false" ht="15" hidden="false" customHeight="false" outlineLevel="0" collapsed="false">
      <c r="A18" s="4" t="s">
        <v>29</v>
      </c>
      <c r="B18" s="5" t="n">
        <f aca="false">SUMPRODUCT((Raw_Fuel_Detail!$A$3:$A$44=$A18)*(Raw_Fuel_Detail!$C$1:$AL$1=B$4)*Raw_Fuel_Detail!$C$3:$AL$44)</f>
        <v>1188</v>
      </c>
      <c r="C18" s="5" t="n">
        <f aca="false">SUMPRODUCT((Raw_Fuel_Detail!$A$3:$A$44=$A18)*(Raw_Fuel_Detail!$C$1:$AL$1=C$4)*Raw_Fuel_Detail!$C$3:$AL$44)</f>
        <v>54990</v>
      </c>
      <c r="D18" s="5" t="n">
        <f aca="false">SUMPRODUCT((Raw_Fuel_Detail!$A$3:$A$44=$A18)*(Raw_Fuel_Detail!$C$1:$AL$1=D$4)*Raw_Fuel_Detail!$C$3:$AL$44)</f>
        <v>1700306</v>
      </c>
      <c r="E18" s="5" t="n">
        <f aca="false">SUMPRODUCT((Raw_Fuel_Detail!$A$3:$A$44=$A18)*(Raw_Fuel_Detail!$C$1:$AL$1=E$4)*Raw_Fuel_Detail!$C$3:$AL$44)</f>
        <v>1231495</v>
      </c>
      <c r="F18" s="5" t="n">
        <f aca="false">SUMPRODUCT((Raw_Fuel_Detail!$A$3:$A$44=$A18)*(Raw_Fuel_Detail!$C$1:$AL$1=F$4)*Raw_Fuel_Detail!$C$3:$AL$44)</f>
        <v>225245</v>
      </c>
      <c r="G18" s="5" t="n">
        <f aca="false">SUMPRODUCT((Raw_Fuel_Detail!$A$3:$A$44=$A18)*(Raw_Fuel_Detail!$C$1:$AL$1=G$4)*Raw_Fuel_Detail!$C$3:$AL$44)</f>
        <v>24847</v>
      </c>
      <c r="H18" s="5" t="n">
        <f aca="false">SUMPRODUCT((Raw_Fuel_Detail!$A$3:$A$44=$A18)*(Raw_Fuel_Detail!$C$1:$AL$1=H$4)*Raw_Fuel_Detail!$C$3:$AL$44)</f>
        <v>6801</v>
      </c>
      <c r="I18" s="5" t="n">
        <f aca="false">SUM(B18:H18)</f>
        <v>3244872</v>
      </c>
      <c r="J18" s="6" t="n">
        <f aca="false">IF($I18=0,0,B18/$I18)</f>
        <v>0.000366116136476262</v>
      </c>
      <c r="K18" s="6" t="n">
        <f aca="false">IF($I18=0,0,C18/$I18)</f>
        <v>0.0169467393474997</v>
      </c>
      <c r="L18" s="6" t="n">
        <f aca="false">IF($I18=0,0,D18/$I18)</f>
        <v>0.523997864938894</v>
      </c>
      <c r="M18" s="6" t="n">
        <f aca="false">IF($I18=0,0,E18/$I18)</f>
        <v>0.379520363206931</v>
      </c>
      <c r="N18" s="6" t="n">
        <f aca="false">IF($I18=0,0,F18/$I18)</f>
        <v>0.0694156811116124</v>
      </c>
    </row>
    <row r="19" customFormat="false" ht="15" hidden="false" customHeight="false" outlineLevel="0" collapsed="false">
      <c r="A19" s="4" t="s">
        <v>30</v>
      </c>
      <c r="B19" s="5" t="n">
        <f aca="false">SUMPRODUCT((Raw_Fuel_Detail!$A$3:$A$44=$A19)*(Raw_Fuel_Detail!$C$1:$AL$1=B$4)*Raw_Fuel_Detail!$C$3:$AL$44)</f>
        <v>1905</v>
      </c>
      <c r="C19" s="5" t="n">
        <f aca="false">SUMPRODUCT((Raw_Fuel_Detail!$A$3:$A$44=$A19)*(Raw_Fuel_Detail!$C$1:$AL$1=C$4)*Raw_Fuel_Detail!$C$3:$AL$44)</f>
        <v>94183</v>
      </c>
      <c r="D19" s="5" t="n">
        <f aca="false">SUMPRODUCT((Raw_Fuel_Detail!$A$3:$A$44=$A19)*(Raw_Fuel_Detail!$C$1:$AL$1=D$4)*Raw_Fuel_Detail!$C$3:$AL$44)</f>
        <v>1724585</v>
      </c>
      <c r="E19" s="5" t="n">
        <f aca="false">SUMPRODUCT((Raw_Fuel_Detail!$A$3:$A$44=$A19)*(Raw_Fuel_Detail!$C$1:$AL$1=E$4)*Raw_Fuel_Detail!$C$3:$AL$44)</f>
        <v>1147674</v>
      </c>
      <c r="F19" s="5" t="n">
        <f aca="false">SUMPRODUCT((Raw_Fuel_Detail!$A$3:$A$44=$A19)*(Raw_Fuel_Detail!$C$1:$AL$1=F$4)*Raw_Fuel_Detail!$C$3:$AL$44)</f>
        <v>258905</v>
      </c>
      <c r="G19" s="5" t="n">
        <f aca="false">SUMPRODUCT((Raw_Fuel_Detail!$A$3:$A$44=$A19)*(Raw_Fuel_Detail!$C$1:$AL$1=G$4)*Raw_Fuel_Detail!$C$3:$AL$44)</f>
        <v>22806</v>
      </c>
      <c r="H19" s="5" t="n">
        <f aca="false">SUMPRODUCT((Raw_Fuel_Detail!$A$3:$A$44=$A19)*(Raw_Fuel_Detail!$C$1:$AL$1=H$4)*Raw_Fuel_Detail!$C$3:$AL$44)</f>
        <v>8338</v>
      </c>
      <c r="I19" s="5" t="n">
        <f aca="false">SUM(B19:H19)</f>
        <v>3258396</v>
      </c>
      <c r="J19" s="6" t="n">
        <f aca="false">IF($I19=0,0,B19/$I19)</f>
        <v>0.000584643487163623</v>
      </c>
      <c r="K19" s="6" t="n">
        <f aca="false">IF($I19=0,0,C19/$I19)</f>
        <v>0.0289047126254758</v>
      </c>
      <c r="L19" s="6" t="n">
        <f aca="false">IF($I19=0,0,D19/$I19)</f>
        <v>0.529274219585342</v>
      </c>
      <c r="M19" s="6" t="n">
        <f aca="false">IF($I19=0,0,E19/$I19)</f>
        <v>0.352220540413136</v>
      </c>
      <c r="N19" s="6" t="n">
        <f aca="false">IF($I19=0,0,F19/$I19)</f>
        <v>0.0794578068472954</v>
      </c>
    </row>
    <row r="20" customFormat="false" ht="15" hidden="false" customHeight="false" outlineLevel="0" collapsed="false">
      <c r="A20" s="4" t="s">
        <v>31</v>
      </c>
      <c r="B20" s="5" t="n">
        <f aca="false">SUMPRODUCT((Raw_Fuel_Detail!$A$3:$A$44=$A20)*(Raw_Fuel_Detail!$C$1:$AL$1=B$4)*Raw_Fuel_Detail!$C$3:$AL$44)</f>
        <v>2735</v>
      </c>
      <c r="C20" s="5" t="n">
        <f aca="false">SUMPRODUCT((Raw_Fuel_Detail!$A$3:$A$44=$A20)*(Raw_Fuel_Detail!$C$1:$AL$1=C$4)*Raw_Fuel_Detail!$C$3:$AL$44)</f>
        <v>98780</v>
      </c>
      <c r="D20" s="5" t="n">
        <f aca="false">SUMPRODUCT((Raw_Fuel_Detail!$A$3:$A$44=$A20)*(Raw_Fuel_Detail!$C$1:$AL$1=D$4)*Raw_Fuel_Detail!$C$3:$AL$44)</f>
        <v>1713185</v>
      </c>
      <c r="E20" s="5" t="n">
        <f aca="false">SUMPRODUCT((Raw_Fuel_Detail!$A$3:$A$44=$A20)*(Raw_Fuel_Detail!$C$1:$AL$1=E$4)*Raw_Fuel_Detail!$C$3:$AL$44)</f>
        <v>986657</v>
      </c>
      <c r="F20" s="5" t="n">
        <f aca="false">SUMPRODUCT((Raw_Fuel_Detail!$A$3:$A$44=$A20)*(Raw_Fuel_Detail!$C$1:$AL$1=F$4)*Raw_Fuel_Detail!$C$3:$AL$44)</f>
        <v>246257</v>
      </c>
      <c r="G20" s="5" t="n">
        <f aca="false">SUMPRODUCT((Raw_Fuel_Detail!$A$3:$A$44=$A20)*(Raw_Fuel_Detail!$C$1:$AL$1=G$4)*Raw_Fuel_Detail!$C$3:$AL$44)</f>
        <v>17416</v>
      </c>
      <c r="H20" s="5" t="n">
        <f aca="false">SUMPRODUCT((Raw_Fuel_Detail!$A$3:$A$44=$A20)*(Raw_Fuel_Detail!$C$1:$AL$1=H$4)*Raw_Fuel_Detail!$C$3:$AL$44)</f>
        <v>3652</v>
      </c>
      <c r="I20" s="5" t="n">
        <f aca="false">SUM(B20:H20)</f>
        <v>3068682</v>
      </c>
      <c r="J20" s="6" t="n">
        <f aca="false">IF($I20=0,0,B20/$I20)</f>
        <v>0.000891262111877347</v>
      </c>
      <c r="K20" s="6" t="n">
        <f aca="false">IF($I20=0,0,C20/$I20)</f>
        <v>0.0321897153240381</v>
      </c>
      <c r="L20" s="6" t="n">
        <f aca="false">IF($I20=0,0,D20/$I20)</f>
        <v>0.558280395296743</v>
      </c>
      <c r="M20" s="6" t="n">
        <f aca="false">IF($I20=0,0,E20/$I20)</f>
        <v>0.321524680628361</v>
      </c>
      <c r="N20" s="6" t="n">
        <f aca="false">IF($I20=0,0,F20/$I20)</f>
        <v>0.0802484584587129</v>
      </c>
    </row>
    <row r="21" customFormat="false" ht="15" hidden="false" customHeight="false" outlineLevel="0" collapsed="false">
      <c r="A21" s="4" t="s">
        <v>32</v>
      </c>
      <c r="B21" s="5" t="n">
        <f aca="false">SUMPRODUCT((Raw_Fuel_Detail!$A$3:$A$44=$A21)*(Raw_Fuel_Detail!$C$1:$AL$1=B$4)*Raw_Fuel_Detail!$C$3:$AL$44)</f>
        <v>5461</v>
      </c>
      <c r="C21" s="5" t="n">
        <f aca="false">SUMPRODUCT((Raw_Fuel_Detail!$A$3:$A$44=$A21)*(Raw_Fuel_Detail!$C$1:$AL$1=C$4)*Raw_Fuel_Detail!$C$3:$AL$44)</f>
        <v>108052</v>
      </c>
      <c r="D21" s="5" t="n">
        <f aca="false">SUMPRODUCT((Raw_Fuel_Detail!$A$3:$A$44=$A21)*(Raw_Fuel_Detail!$C$1:$AL$1=D$4)*Raw_Fuel_Detail!$C$3:$AL$44)</f>
        <v>1882604</v>
      </c>
      <c r="E21" s="5" t="n">
        <f aca="false">SUMPRODUCT((Raw_Fuel_Detail!$A$3:$A$44=$A21)*(Raw_Fuel_Detail!$C$1:$AL$1=E$4)*Raw_Fuel_Detail!$C$3:$AL$44)</f>
        <v>444381</v>
      </c>
      <c r="F21" s="5" t="n">
        <f aca="false">SUMPRODUCT((Raw_Fuel_Detail!$A$3:$A$44=$A21)*(Raw_Fuel_Detail!$C$1:$AL$1=F$4)*Raw_Fuel_Detail!$C$3:$AL$44)</f>
        <v>227125</v>
      </c>
      <c r="G21" s="5" t="n">
        <f aca="false">SUMPRODUCT((Raw_Fuel_Detail!$A$3:$A$44=$A21)*(Raw_Fuel_Detail!$C$1:$AL$1=G$4)*Raw_Fuel_Detail!$C$3:$AL$44)</f>
        <v>12489</v>
      </c>
      <c r="H21" s="5" t="n">
        <f aca="false">SUMPRODUCT((Raw_Fuel_Detail!$A$3:$A$44=$A21)*(Raw_Fuel_Detail!$C$1:$AL$1=H$4)*Raw_Fuel_Detail!$C$3:$AL$44)</f>
        <v>171</v>
      </c>
      <c r="I21" s="5" t="n">
        <f aca="false">SUM(B21:H21)</f>
        <v>2680283</v>
      </c>
      <c r="J21" s="6" t="n">
        <f aca="false">IF($I21=0,0,B21/$I21)</f>
        <v>0.00203747141626463</v>
      </c>
      <c r="K21" s="6" t="n">
        <f aca="false">IF($I21=0,0,C21/$I21)</f>
        <v>0.0403136534462965</v>
      </c>
      <c r="L21" s="6" t="n">
        <f aca="false">IF($I21=0,0,D21/$I21)</f>
        <v>0.702390008816233</v>
      </c>
      <c r="M21" s="6" t="n">
        <f aca="false">IF($I21=0,0,E21/$I21)</f>
        <v>0.165796298375955</v>
      </c>
      <c r="N21" s="6" t="n">
        <f aca="false">IF($I21=0,0,F21/$I21)</f>
        <v>0.0847391861232564</v>
      </c>
    </row>
    <row r="22" customFormat="false" ht="15" hidden="false" customHeight="false" outlineLevel="0" collapsed="false">
      <c r="A22" s="4" t="s">
        <v>33</v>
      </c>
      <c r="B22" s="5" t="n">
        <f aca="false">SUMPRODUCT((Raw_Fuel_Detail!$A$3:$A$44=$A22)*(Raw_Fuel_Detail!$C$1:$AL$1=B$4)*Raw_Fuel_Detail!$C$3:$AL$44)</f>
        <v>19776</v>
      </c>
      <c r="C22" s="5" t="n">
        <f aca="false">SUMPRODUCT((Raw_Fuel_Detail!$A$3:$A$44=$A22)*(Raw_Fuel_Detail!$C$1:$AL$1=C$4)*Raw_Fuel_Detail!$C$3:$AL$44)</f>
        <v>122786</v>
      </c>
      <c r="D22" s="5" t="n">
        <f aca="false">SUMPRODUCT((Raw_Fuel_Detail!$A$3:$A$44=$A22)*(Raw_Fuel_Detail!$C$1:$AL$1=D$4)*Raw_Fuel_Detail!$C$3:$AL$44)</f>
        <v>2052151</v>
      </c>
      <c r="E22" s="5" t="n">
        <f aca="false">SUMPRODUCT((Raw_Fuel_Detail!$A$3:$A$44=$A22)*(Raw_Fuel_Detail!$C$1:$AL$1=E$4)*Raw_Fuel_Detail!$C$3:$AL$44)</f>
        <v>569783</v>
      </c>
      <c r="F22" s="5" t="n">
        <f aca="false">SUMPRODUCT((Raw_Fuel_Detail!$A$3:$A$44=$A22)*(Raw_Fuel_Detail!$C$1:$AL$1=F$4)*Raw_Fuel_Detail!$C$3:$AL$44)</f>
        <v>299200</v>
      </c>
      <c r="G22" s="5" t="n">
        <f aca="false">SUMPRODUCT((Raw_Fuel_Detail!$A$3:$A$44=$A22)*(Raw_Fuel_Detail!$C$1:$AL$1=G$4)*Raw_Fuel_Detail!$C$3:$AL$44)</f>
        <v>10151</v>
      </c>
      <c r="H22" s="5" t="n">
        <f aca="false">SUMPRODUCT((Raw_Fuel_Detail!$A$3:$A$44=$A22)*(Raw_Fuel_Detail!$C$1:$AL$1=H$4)*Raw_Fuel_Detail!$C$3:$AL$44)</f>
        <v>440</v>
      </c>
      <c r="I22" s="5" t="n">
        <f aca="false">SUM(B22:H22)</f>
        <v>3074287</v>
      </c>
      <c r="J22" s="6" t="n">
        <f aca="false">IF($I22=0,0,B22/$I22)</f>
        <v>0.00643271106438664</v>
      </c>
      <c r="K22" s="6" t="n">
        <f aca="false">IF($I22=0,0,C22/$I22)</f>
        <v>0.0399396673114774</v>
      </c>
      <c r="L22" s="6" t="n">
        <f aca="false">IF($I22=0,0,D22/$I22)</f>
        <v>0.667520956891793</v>
      </c>
      <c r="M22" s="6" t="n">
        <f aca="false">IF($I22=0,0,E22/$I22)</f>
        <v>0.185338258919873</v>
      </c>
      <c r="N22" s="6" t="n">
        <f aca="false">IF($I22=0,0,F22/$I22)</f>
        <v>0.0973233793721926</v>
      </c>
    </row>
    <row r="23" customFormat="false" ht="15" hidden="false" customHeight="false" outlineLevel="0" collapsed="false">
      <c r="A23" s="4" t="s">
        <v>34</v>
      </c>
      <c r="B23" s="5" t="n">
        <f aca="false">SUMPRODUCT((Raw_Fuel_Detail!$A$3:$A$44=$A23)*(Raw_Fuel_Detail!$C$1:$AL$1=B$4)*Raw_Fuel_Detail!$C$3:$AL$44)</f>
        <v>51090</v>
      </c>
      <c r="C23" s="5" t="n">
        <f aca="false">SUMPRODUCT((Raw_Fuel_Detail!$A$3:$A$44=$A23)*(Raw_Fuel_Detail!$C$1:$AL$1=C$4)*Raw_Fuel_Detail!$C$3:$AL$44)</f>
        <v>265032</v>
      </c>
      <c r="D23" s="5" t="n">
        <f aca="false">SUMPRODUCT((Raw_Fuel_Detail!$A$3:$A$44=$A23)*(Raw_Fuel_Detail!$C$1:$AL$1=D$4)*Raw_Fuel_Detail!$C$3:$AL$44)</f>
        <v>2304185</v>
      </c>
      <c r="E23" s="5" t="n">
        <f aca="false">SUMPRODUCT((Raw_Fuel_Detail!$A$3:$A$44=$A23)*(Raw_Fuel_Detail!$C$1:$AL$1=E$4)*Raw_Fuel_Detail!$C$3:$AL$44)</f>
        <v>712435</v>
      </c>
      <c r="F23" s="5" t="n">
        <f aca="false">SUMPRODUCT((Raw_Fuel_Detail!$A$3:$A$44=$A23)*(Raw_Fuel_Detail!$C$1:$AL$1=F$4)*Raw_Fuel_Detail!$C$3:$AL$44)</f>
        <v>446447</v>
      </c>
      <c r="G23" s="5" t="n">
        <f aca="false">SUMPRODUCT((Raw_Fuel_Detail!$A$3:$A$44=$A23)*(Raw_Fuel_Detail!$C$1:$AL$1=G$4)*Raw_Fuel_Detail!$C$3:$AL$44)</f>
        <v>9116</v>
      </c>
      <c r="H23" s="5" t="n">
        <f aca="false">SUMPRODUCT((Raw_Fuel_Detail!$A$3:$A$44=$A23)*(Raw_Fuel_Detail!$C$1:$AL$1=H$4)*Raw_Fuel_Detail!$C$3:$AL$44)</f>
        <v>195</v>
      </c>
      <c r="I23" s="5" t="n">
        <f aca="false">SUM(B23:H23)</f>
        <v>3788500</v>
      </c>
      <c r="J23" s="6" t="n">
        <f aca="false">IF($I23=0,0,B23/$I23)</f>
        <v>0.0134855483700673</v>
      </c>
      <c r="K23" s="6" t="n">
        <f aca="false">IF($I23=0,0,C23/$I23)</f>
        <v>0.0699569750560908</v>
      </c>
      <c r="L23" s="6" t="n">
        <f aca="false">IF($I23=0,0,D23/$I23)</f>
        <v>0.608205094364524</v>
      </c>
      <c r="M23" s="6" t="n">
        <f aca="false">IF($I23=0,0,E23/$I23)</f>
        <v>0.188051999472087</v>
      </c>
      <c r="N23" s="6" t="n">
        <f aca="false">IF($I23=0,0,F23/$I23)</f>
        <v>0.117842681800185</v>
      </c>
    </row>
    <row r="24" customFormat="false" ht="15" hidden="false" customHeight="false" outlineLevel="0" collapsed="false">
      <c r="A24" s="4" t="s">
        <v>35</v>
      </c>
      <c r="B24" s="5" t="n">
        <f aca="false">SUMPRODUCT((Raw_Fuel_Detail!$A$3:$A$44=$A24)*(Raw_Fuel_Detail!$C$1:$AL$1=B$4)*Raw_Fuel_Detail!$C$3:$AL$44)</f>
        <v>98019</v>
      </c>
      <c r="C24" s="5" t="n">
        <f aca="false">SUMPRODUCT((Raw_Fuel_Detail!$A$3:$A$44=$A24)*(Raw_Fuel_Detail!$C$1:$AL$1=C$4)*Raw_Fuel_Detail!$C$3:$AL$44)</f>
        <v>322357</v>
      </c>
      <c r="D24" s="5" t="n">
        <f aca="false">SUMPRODUCT((Raw_Fuel_Detail!$A$3:$A$44=$A24)*(Raw_Fuel_Detail!$C$1:$AL$1=D$4)*Raw_Fuel_Detail!$C$3:$AL$44)</f>
        <v>2310462</v>
      </c>
      <c r="E24" s="5" t="n">
        <f aca="false">SUMPRODUCT((Raw_Fuel_Detail!$A$3:$A$44=$A24)*(Raw_Fuel_Detail!$C$1:$AL$1=E$4)*Raw_Fuel_Detail!$C$3:$AL$44)</f>
        <v>717155</v>
      </c>
      <c r="F24" s="5" t="n">
        <f aca="false">SUMPRODUCT((Raw_Fuel_Detail!$A$3:$A$44=$A24)*(Raw_Fuel_Detail!$C$1:$AL$1=F$4)*Raw_Fuel_Detail!$C$3:$AL$44)</f>
        <v>629951</v>
      </c>
      <c r="G24" s="5" t="n">
        <f aca="false">SUMPRODUCT((Raw_Fuel_Detail!$A$3:$A$44=$A24)*(Raw_Fuel_Detail!$C$1:$AL$1=G$4)*Raw_Fuel_Detail!$C$3:$AL$44)</f>
        <v>6605</v>
      </c>
      <c r="H24" s="5" t="n">
        <f aca="false">SUMPRODUCT((Raw_Fuel_Detail!$A$3:$A$44=$A24)*(Raw_Fuel_Detail!$C$1:$AL$1=H$4)*Raw_Fuel_Detail!$C$3:$AL$44)</f>
        <v>369</v>
      </c>
      <c r="I24" s="5" t="n">
        <f aca="false">SUM(B24:H24)</f>
        <v>4084918</v>
      </c>
      <c r="J24" s="6" t="n">
        <f aca="false">IF($I24=0,0,B24/$I24)</f>
        <v>0.023995340910148</v>
      </c>
      <c r="K24" s="6" t="n">
        <f aca="false">IF($I24=0,0,C24/$I24)</f>
        <v>0.078913946375423</v>
      </c>
      <c r="L24" s="6" t="n">
        <f aca="false">IF($I24=0,0,D24/$I24)</f>
        <v>0.565607926523862</v>
      </c>
      <c r="M24" s="6" t="n">
        <f aca="false">IF($I24=0,0,E24/$I24)</f>
        <v>0.175561663661302</v>
      </c>
      <c r="N24" s="6" t="n">
        <f aca="false">IF($I24=0,0,F24/$I24)</f>
        <v>0.154213866716541</v>
      </c>
    </row>
    <row r="25" customFormat="false" ht="15" hidden="false" customHeight="false" outlineLevel="0" collapsed="false">
      <c r="A25" s="4" t="s">
        <v>36</v>
      </c>
      <c r="B25" s="5" t="n">
        <f aca="false">SUMPRODUCT((Raw_Fuel_Detail!$A$3:$A$44=$A25)*(Raw_Fuel_Detail!$C$1:$AL$1=B$4)*Raw_Fuel_Detail!$C$3:$AL$44)</f>
        <v>115923</v>
      </c>
      <c r="C25" s="5" t="n">
        <f aca="false">SUMPRODUCT((Raw_Fuel_Detail!$A$3:$A$44=$A25)*(Raw_Fuel_Detail!$C$1:$AL$1=C$4)*Raw_Fuel_Detail!$C$3:$AL$44)</f>
        <v>361674</v>
      </c>
      <c r="D25" s="5" t="n">
        <f aca="false">SUMPRODUCT((Raw_Fuel_Detail!$A$3:$A$44=$A25)*(Raw_Fuel_Detail!$C$1:$AL$1=D$4)*Raw_Fuel_Detail!$C$3:$AL$44)</f>
        <v>2193035</v>
      </c>
      <c r="E25" s="5" t="n">
        <f aca="false">SUMPRODUCT((Raw_Fuel_Detail!$A$3:$A$44=$A25)*(Raw_Fuel_Detail!$C$1:$AL$1=E$4)*Raw_Fuel_Detail!$C$3:$AL$44)</f>
        <v>768065</v>
      </c>
      <c r="F25" s="5" t="n">
        <f aca="false">SUMPRODUCT((Raw_Fuel_Detail!$A$3:$A$44=$A25)*(Raw_Fuel_Detail!$C$1:$AL$1=F$4)*Raw_Fuel_Detail!$C$3:$AL$44)</f>
        <v>827608</v>
      </c>
      <c r="G25" s="5" t="n">
        <f aca="false">SUMPRODUCT((Raw_Fuel_Detail!$A$3:$A$44=$A25)*(Raw_Fuel_Detail!$C$1:$AL$1=G$4)*Raw_Fuel_Detail!$C$3:$AL$44)</f>
        <v>9986</v>
      </c>
      <c r="H25" s="5" t="n">
        <f aca="false">SUMPRODUCT((Raw_Fuel_Detail!$A$3:$A$44=$A25)*(Raw_Fuel_Detail!$C$1:$AL$1=H$4)*Raw_Fuel_Detail!$C$3:$AL$44)</f>
        <v>319</v>
      </c>
      <c r="I25" s="5" t="n">
        <f aca="false">SUM(B25:H25)</f>
        <v>4276610</v>
      </c>
      <c r="J25" s="6" t="n">
        <f aca="false">IF($I25=0,0,B25/$I25)</f>
        <v>0.0271062827800524</v>
      </c>
      <c r="K25" s="6" t="n">
        <f aca="false">IF($I25=0,0,C25/$I25)</f>
        <v>0.0845702554125815</v>
      </c>
      <c r="L25" s="6" t="n">
        <f aca="false">IF($I25=0,0,D25/$I25)</f>
        <v>0.512797519530656</v>
      </c>
      <c r="M25" s="6" t="n">
        <f aca="false">IF($I25=0,0,E25/$I25)</f>
        <v>0.179596689901581</v>
      </c>
      <c r="N25" s="6" t="n">
        <f aca="false">IF($I25=0,0,F25/$I25)</f>
        <v>0.19351963354152</v>
      </c>
    </row>
    <row r="26" customFormat="false" ht="15" hidden="false" customHeight="false" outlineLevel="0" collapsed="false">
      <c r="A26" s="7" t="s">
        <v>37</v>
      </c>
      <c r="B26" s="8" t="n">
        <f aca="false">SUM(B5:B25)</f>
        <v>301733</v>
      </c>
      <c r="C26" s="8" t="n">
        <f aca="false">SUM(C5:C25)</f>
        <v>1450049</v>
      </c>
      <c r="D26" s="8" t="n">
        <f aca="false">SUM(D5:D25)</f>
        <v>28462635</v>
      </c>
      <c r="E26" s="8" t="n">
        <f aca="false">SUM(E5:E25)</f>
        <v>17643036</v>
      </c>
      <c r="F26" s="8" t="n">
        <f aca="false">SUM(F5:F25)</f>
        <v>5003940</v>
      </c>
      <c r="G26" s="8" t="n">
        <f aca="false">SUM(G5:G25)</f>
        <v>920916</v>
      </c>
      <c r="H26" s="8" t="n">
        <f aca="false">SUM(H5:H25)</f>
        <v>55570</v>
      </c>
      <c r="I26" s="8" t="n">
        <f aca="false">SUM(I5:I25)</f>
        <v>53837879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0" min="3" style="0" width="12"/>
  </cols>
  <sheetData>
    <row r="1" customFormat="false" ht="15" hidden="false" customHeight="false" outlineLevel="0" collapsed="false">
      <c r="A1" s="7" t="s">
        <v>40</v>
      </c>
      <c r="C1" s="9" t="s">
        <v>7</v>
      </c>
      <c r="D1" s="9" t="s">
        <v>6</v>
      </c>
      <c r="E1" s="9" t="s">
        <v>7</v>
      </c>
      <c r="F1" s="9" t="s">
        <v>7</v>
      </c>
      <c r="G1" s="9" t="s">
        <v>6</v>
      </c>
      <c r="H1" s="9" t="s">
        <v>4</v>
      </c>
      <c r="I1" s="9" t="s">
        <v>6</v>
      </c>
      <c r="J1" s="9" t="s">
        <v>7</v>
      </c>
      <c r="K1" s="9" t="s">
        <v>7</v>
      </c>
      <c r="L1" s="9" t="s">
        <v>7</v>
      </c>
      <c r="M1" s="9" t="s">
        <v>3</v>
      </c>
      <c r="N1" s="9" t="s">
        <v>5</v>
      </c>
      <c r="O1" s="9" t="s">
        <v>6</v>
      </c>
      <c r="P1" s="9" t="s">
        <v>5</v>
      </c>
      <c r="Q1" s="9" t="s">
        <v>3</v>
      </c>
      <c r="R1" s="9" t="s">
        <v>7</v>
      </c>
      <c r="S1" s="9" t="s">
        <v>9</v>
      </c>
      <c r="T1" s="9" t="s">
        <v>7</v>
      </c>
      <c r="U1" s="9" t="s">
        <v>8</v>
      </c>
      <c r="V1" s="9" t="s">
        <v>5</v>
      </c>
      <c r="W1" s="9" t="s">
        <v>9</v>
      </c>
      <c r="X1" s="9" t="s">
        <v>5</v>
      </c>
      <c r="Y1" s="9" t="s">
        <v>7</v>
      </c>
      <c r="Z1" s="9" t="s">
        <v>5</v>
      </c>
      <c r="AA1" s="9" t="s">
        <v>7</v>
      </c>
      <c r="AB1" s="9" t="s">
        <v>4</v>
      </c>
      <c r="AC1" s="9" t="s">
        <v>4</v>
      </c>
      <c r="AD1" s="9" t="s">
        <v>8</v>
      </c>
      <c r="AE1" s="9" t="s">
        <v>4</v>
      </c>
      <c r="AF1" s="9" t="s">
        <v>4</v>
      </c>
      <c r="AG1" s="9" t="s">
        <v>8</v>
      </c>
      <c r="AH1" s="9" t="s">
        <v>5</v>
      </c>
      <c r="AI1" s="9" t="s">
        <v>4</v>
      </c>
      <c r="AJ1" s="9" t="s">
        <v>3</v>
      </c>
      <c r="AK1" s="9" t="s">
        <v>3</v>
      </c>
      <c r="AL1" s="9" t="s">
        <v>4</v>
      </c>
    </row>
    <row r="2" customFormat="false" ht="45" hidden="false" customHeight="true" outlineLevel="0" collapsed="false">
      <c r="A2" s="10" t="s">
        <v>2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10" t="s">
        <v>55</v>
      </c>
      <c r="Q2" s="10" t="s">
        <v>56</v>
      </c>
      <c r="R2" s="10" t="s">
        <v>57</v>
      </c>
      <c r="S2" s="10" t="s">
        <v>58</v>
      </c>
      <c r="T2" s="10" t="s">
        <v>59</v>
      </c>
      <c r="U2" s="10" t="s">
        <v>60</v>
      </c>
      <c r="V2" s="10" t="s">
        <v>61</v>
      </c>
      <c r="W2" s="10" t="s">
        <v>62</v>
      </c>
      <c r="X2" s="10" t="s">
        <v>63</v>
      </c>
      <c r="Y2" s="10" t="s">
        <v>64</v>
      </c>
      <c r="Z2" s="10" t="s">
        <v>65</v>
      </c>
      <c r="AA2" s="10" t="s">
        <v>66</v>
      </c>
      <c r="AB2" s="10" t="s">
        <v>67</v>
      </c>
      <c r="AC2" s="10" t="s">
        <v>68</v>
      </c>
      <c r="AD2" s="10" t="s">
        <v>69</v>
      </c>
      <c r="AE2" s="10" t="s">
        <v>70</v>
      </c>
      <c r="AF2" s="10" t="s">
        <v>71</v>
      </c>
      <c r="AG2" s="10" t="s">
        <v>72</v>
      </c>
      <c r="AH2" s="10" t="s">
        <v>73</v>
      </c>
      <c r="AI2" s="10" t="s">
        <v>74</v>
      </c>
      <c r="AJ2" s="10" t="s">
        <v>75</v>
      </c>
      <c r="AK2" s="10" t="s">
        <v>76</v>
      </c>
      <c r="AL2" s="10" t="s">
        <v>77</v>
      </c>
      <c r="AM2" s="10" t="s">
        <v>78</v>
      </c>
      <c r="AN2" s="10" t="s">
        <v>79</v>
      </c>
    </row>
    <row r="3" customFormat="false" ht="15" hidden="false" customHeight="false" outlineLevel="0" collapsed="false">
      <c r="A3" s="4" t="s">
        <v>16</v>
      </c>
      <c r="B3" s="4" t="s">
        <v>80</v>
      </c>
      <c r="C3" s="5" t="n">
        <v>1</v>
      </c>
      <c r="D3" s="5" t="n">
        <v>0</v>
      </c>
      <c r="E3" s="5" t="n">
        <v>0</v>
      </c>
      <c r="F3" s="5" t="n">
        <v>907</v>
      </c>
      <c r="G3" s="5" t="n">
        <v>247776</v>
      </c>
      <c r="H3" s="5" t="n">
        <v>15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195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852</v>
      </c>
      <c r="V3" s="5" t="n">
        <v>1</v>
      </c>
      <c r="W3" s="5" t="n">
        <v>1890</v>
      </c>
      <c r="X3" s="5" t="n">
        <v>543546</v>
      </c>
      <c r="Y3" s="5" t="n">
        <v>53975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8</v>
      </c>
      <c r="AF3" s="5" t="n">
        <v>0</v>
      </c>
      <c r="AG3" s="5" t="n">
        <v>47005</v>
      </c>
      <c r="AH3" s="5" t="n">
        <v>0</v>
      </c>
      <c r="AI3" s="5" t="n">
        <v>0</v>
      </c>
      <c r="AJ3" s="5" t="n">
        <v>0</v>
      </c>
      <c r="AK3" s="5" t="n">
        <v>8</v>
      </c>
      <c r="AL3" s="5" t="n">
        <v>0</v>
      </c>
      <c r="AM3" s="5" t="n">
        <v>896180</v>
      </c>
      <c r="AN3" s="5" t="n">
        <f aca="false">SUM(C3:AL3)-AM3</f>
        <v>0</v>
      </c>
    </row>
    <row r="4" customFormat="false" ht="15" hidden="false" customHeight="false" outlineLevel="0" collapsed="false">
      <c r="A4" s="4" t="s">
        <v>16</v>
      </c>
      <c r="B4" s="4" t="s">
        <v>81</v>
      </c>
      <c r="C4" s="5" t="n">
        <v>0</v>
      </c>
      <c r="D4" s="5" t="n">
        <v>0</v>
      </c>
      <c r="E4" s="5" t="n">
        <v>0</v>
      </c>
      <c r="F4" s="5" t="n">
        <v>162</v>
      </c>
      <c r="G4" s="5" t="n">
        <v>24612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61</v>
      </c>
      <c r="V4" s="5" t="n">
        <v>0</v>
      </c>
      <c r="W4" s="5" t="n">
        <v>216</v>
      </c>
      <c r="X4" s="5" t="n">
        <v>4913</v>
      </c>
      <c r="Y4" s="5" t="n">
        <v>932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1023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31920</v>
      </c>
      <c r="AN4" s="5" t="n">
        <f aca="false">SUM(C4:AL4)-AM4</f>
        <v>0</v>
      </c>
    </row>
    <row r="5" customFormat="false" ht="15" hidden="false" customHeight="false" outlineLevel="0" collapsed="false">
      <c r="A5" s="4" t="s">
        <v>17</v>
      </c>
      <c r="B5" s="4" t="s">
        <v>80</v>
      </c>
      <c r="C5" s="5" t="n">
        <v>0</v>
      </c>
      <c r="D5" s="5" t="n">
        <v>0</v>
      </c>
      <c r="E5" s="5" t="n">
        <v>0</v>
      </c>
      <c r="F5" s="5" t="n">
        <v>877</v>
      </c>
      <c r="G5" s="5" t="n">
        <v>279128</v>
      </c>
      <c r="H5" s="5" t="n">
        <v>16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170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1011</v>
      </c>
      <c r="V5" s="5" t="n">
        <v>1</v>
      </c>
      <c r="W5" s="5" t="n">
        <v>1938</v>
      </c>
      <c r="X5" s="5" t="n">
        <v>606595</v>
      </c>
      <c r="Y5" s="5" t="n">
        <v>69616</v>
      </c>
      <c r="Z5" s="5" t="n">
        <v>3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3</v>
      </c>
      <c r="AF5" s="5" t="n">
        <v>0</v>
      </c>
      <c r="AG5" s="5" t="n">
        <v>48209</v>
      </c>
      <c r="AH5" s="5" t="n">
        <v>0</v>
      </c>
      <c r="AI5" s="5" t="n">
        <v>0</v>
      </c>
      <c r="AJ5" s="5" t="n">
        <v>0</v>
      </c>
      <c r="AK5" s="5" t="n">
        <v>10</v>
      </c>
      <c r="AL5" s="5" t="n">
        <v>0</v>
      </c>
      <c r="AM5" s="5" t="n">
        <v>1007579</v>
      </c>
      <c r="AN5" s="5" t="n">
        <f aca="false">SUM(C5:AL5)-AM5</f>
        <v>0</v>
      </c>
    </row>
    <row r="6" customFormat="false" ht="15" hidden="false" customHeight="false" outlineLevel="0" collapsed="false">
      <c r="A6" s="4" t="s">
        <v>17</v>
      </c>
      <c r="B6" s="4" t="s">
        <v>81</v>
      </c>
      <c r="C6" s="5" t="n">
        <v>0</v>
      </c>
      <c r="D6" s="5" t="n">
        <v>0</v>
      </c>
      <c r="E6" s="5" t="n">
        <v>0</v>
      </c>
      <c r="F6" s="5" t="n">
        <v>131</v>
      </c>
      <c r="G6" s="5" t="n">
        <v>32540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40</v>
      </c>
      <c r="V6" s="5" t="n">
        <v>0</v>
      </c>
      <c r="W6" s="5" t="n">
        <v>225</v>
      </c>
      <c r="X6" s="5" t="n">
        <v>4619</v>
      </c>
      <c r="Y6" s="5" t="n">
        <v>376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1549</v>
      </c>
      <c r="AH6" s="5" t="n">
        <v>0</v>
      </c>
      <c r="AI6" s="5" t="n">
        <v>0</v>
      </c>
      <c r="AJ6" s="5" t="n">
        <v>0</v>
      </c>
      <c r="AK6" s="5" t="n">
        <v>2</v>
      </c>
      <c r="AL6" s="5" t="n">
        <v>0</v>
      </c>
      <c r="AM6" s="5" t="n">
        <v>39482</v>
      </c>
      <c r="AN6" s="5" t="n">
        <f aca="false">SUM(C6:AL6)-AM6</f>
        <v>0</v>
      </c>
    </row>
    <row r="7" customFormat="false" ht="15" hidden="false" customHeight="false" outlineLevel="0" collapsed="false">
      <c r="A7" s="4" t="s">
        <v>18</v>
      </c>
      <c r="B7" s="4" t="s">
        <v>80</v>
      </c>
      <c r="C7" s="5" t="n">
        <v>0</v>
      </c>
      <c r="D7" s="5" t="n">
        <v>0</v>
      </c>
      <c r="E7" s="5" t="n">
        <v>0</v>
      </c>
      <c r="F7" s="5" t="n">
        <v>529</v>
      </c>
      <c r="G7" s="5" t="n">
        <v>332590</v>
      </c>
      <c r="H7" s="5" t="n">
        <v>21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230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2</v>
      </c>
      <c r="U7" s="5" t="n">
        <v>2007</v>
      </c>
      <c r="V7" s="5" t="n">
        <v>0</v>
      </c>
      <c r="W7" s="5" t="n">
        <v>3201</v>
      </c>
      <c r="X7" s="5" t="n">
        <v>711417</v>
      </c>
      <c r="Y7" s="5" t="n">
        <v>86655</v>
      </c>
      <c r="Z7" s="5" t="n">
        <v>11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3</v>
      </c>
      <c r="AF7" s="5" t="n">
        <v>0</v>
      </c>
      <c r="AG7" s="5" t="n">
        <v>69477</v>
      </c>
      <c r="AH7" s="5" t="n">
        <v>0</v>
      </c>
      <c r="AI7" s="5" t="n">
        <v>0</v>
      </c>
      <c r="AJ7" s="5" t="n">
        <v>0</v>
      </c>
      <c r="AK7" s="5" t="n">
        <v>13</v>
      </c>
      <c r="AL7" s="5" t="n">
        <v>0</v>
      </c>
      <c r="AM7" s="5" t="n">
        <v>1206157</v>
      </c>
      <c r="AN7" s="5" t="n">
        <f aca="false">SUM(C7:AL7)-AM7</f>
        <v>0</v>
      </c>
    </row>
    <row r="8" customFormat="false" ht="15" hidden="false" customHeight="false" outlineLevel="0" collapsed="false">
      <c r="A8" s="4" t="s">
        <v>18</v>
      </c>
      <c r="B8" s="4" t="s">
        <v>81</v>
      </c>
      <c r="C8" s="5" t="n">
        <v>0</v>
      </c>
      <c r="D8" s="5" t="n">
        <v>0</v>
      </c>
      <c r="E8" s="5" t="n">
        <v>0</v>
      </c>
      <c r="F8" s="5" t="n">
        <v>521</v>
      </c>
      <c r="G8" s="5" t="n">
        <v>42110</v>
      </c>
      <c r="H8" s="5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2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55</v>
      </c>
      <c r="V8" s="5" t="n">
        <v>0</v>
      </c>
      <c r="W8" s="5" t="n">
        <v>324</v>
      </c>
      <c r="X8" s="5" t="n">
        <v>5305</v>
      </c>
      <c r="Y8" s="5" t="n">
        <v>923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2373</v>
      </c>
      <c r="AH8" s="5" t="n">
        <v>0</v>
      </c>
      <c r="AI8" s="5" t="n">
        <v>0</v>
      </c>
      <c r="AJ8" s="5" t="n">
        <v>0</v>
      </c>
      <c r="AK8" s="5" t="n">
        <v>1</v>
      </c>
      <c r="AL8" s="5" t="n">
        <v>0</v>
      </c>
      <c r="AM8" s="5" t="n">
        <v>51615</v>
      </c>
      <c r="AN8" s="5" t="n">
        <f aca="false">SUM(C8:AL8)-AM8</f>
        <v>0</v>
      </c>
    </row>
    <row r="9" customFormat="false" ht="15" hidden="false" customHeight="false" outlineLevel="0" collapsed="false">
      <c r="A9" s="4" t="s">
        <v>19</v>
      </c>
      <c r="B9" s="4" t="s">
        <v>80</v>
      </c>
      <c r="C9" s="5" t="n">
        <v>0</v>
      </c>
      <c r="D9" s="5" t="n">
        <v>0</v>
      </c>
      <c r="E9" s="5" t="n">
        <v>0</v>
      </c>
      <c r="F9" s="5" t="n">
        <v>260</v>
      </c>
      <c r="G9" s="5" t="n">
        <v>417876</v>
      </c>
      <c r="H9" s="5" t="n">
        <v>16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326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2228</v>
      </c>
      <c r="V9" s="5" t="n">
        <v>0</v>
      </c>
      <c r="W9" s="5" t="n">
        <v>2830</v>
      </c>
      <c r="X9" s="5" t="n">
        <v>781583</v>
      </c>
      <c r="Y9" s="5" t="n">
        <v>102853</v>
      </c>
      <c r="Z9" s="5" t="n">
        <v>4</v>
      </c>
      <c r="AA9" s="5" t="n">
        <v>1</v>
      </c>
      <c r="AB9" s="5" t="n">
        <v>0</v>
      </c>
      <c r="AC9" s="5" t="n">
        <v>0</v>
      </c>
      <c r="AD9" s="5" t="n">
        <v>1</v>
      </c>
      <c r="AE9" s="5" t="n">
        <v>4</v>
      </c>
      <c r="AF9" s="5" t="n">
        <v>0</v>
      </c>
      <c r="AG9" s="5" t="n">
        <v>80818</v>
      </c>
      <c r="AH9" s="5" t="n">
        <v>0</v>
      </c>
      <c r="AI9" s="5" t="n">
        <v>0</v>
      </c>
      <c r="AJ9" s="5" t="n">
        <v>0</v>
      </c>
      <c r="AK9" s="5" t="n">
        <v>9</v>
      </c>
      <c r="AL9" s="5" t="n">
        <v>0</v>
      </c>
      <c r="AM9" s="5" t="n">
        <v>1388812</v>
      </c>
      <c r="AN9" s="5" t="n">
        <f aca="false">SUM(C9:AL9)-AM9</f>
        <v>0</v>
      </c>
    </row>
    <row r="10" customFormat="false" ht="15" hidden="false" customHeight="false" outlineLevel="0" collapsed="false">
      <c r="A10" s="4" t="s">
        <v>19</v>
      </c>
      <c r="B10" s="4" t="s">
        <v>81</v>
      </c>
      <c r="C10" s="5" t="n">
        <v>0</v>
      </c>
      <c r="D10" s="5" t="n">
        <v>0</v>
      </c>
      <c r="E10" s="5" t="n">
        <v>0</v>
      </c>
      <c r="F10" s="5" t="n">
        <v>1171</v>
      </c>
      <c r="G10" s="5" t="n">
        <v>48922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5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58</v>
      </c>
      <c r="V10" s="5" t="n">
        <v>0</v>
      </c>
      <c r="W10" s="5" t="n">
        <v>322</v>
      </c>
      <c r="X10" s="5" t="n">
        <v>5120</v>
      </c>
      <c r="Y10" s="5" t="n">
        <v>1988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2283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59869</v>
      </c>
      <c r="AN10" s="5" t="n">
        <f aca="false">SUM(C10:AL10)-AM10</f>
        <v>0</v>
      </c>
    </row>
    <row r="11" customFormat="false" ht="15" hidden="false" customHeight="false" outlineLevel="0" collapsed="false">
      <c r="A11" s="4" t="s">
        <v>20</v>
      </c>
      <c r="B11" s="4" t="s">
        <v>80</v>
      </c>
      <c r="C11" s="5" t="n">
        <v>0</v>
      </c>
      <c r="D11" s="5" t="n">
        <v>0</v>
      </c>
      <c r="E11" s="5" t="n">
        <v>0</v>
      </c>
      <c r="F11" s="5" t="n">
        <v>242</v>
      </c>
      <c r="G11" s="5" t="n">
        <v>485194</v>
      </c>
      <c r="H11" s="5" t="n">
        <v>18</v>
      </c>
      <c r="I11" s="5" t="n">
        <v>0</v>
      </c>
      <c r="J11" s="5" t="n">
        <v>0</v>
      </c>
      <c r="K11" s="5" t="n">
        <v>2</v>
      </c>
      <c r="L11" s="5" t="n">
        <v>0</v>
      </c>
      <c r="M11" s="5" t="n">
        <v>483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1427</v>
      </c>
      <c r="V11" s="5" t="n">
        <v>1</v>
      </c>
      <c r="W11" s="5" t="n">
        <v>2376</v>
      </c>
      <c r="X11" s="5" t="n">
        <v>787678</v>
      </c>
      <c r="Y11" s="5" t="n">
        <v>101091</v>
      </c>
      <c r="Z11" s="5" t="n">
        <v>6</v>
      </c>
      <c r="AA11" s="5" t="n">
        <v>1</v>
      </c>
      <c r="AB11" s="5" t="n">
        <v>0</v>
      </c>
      <c r="AC11" s="5" t="n">
        <v>0</v>
      </c>
      <c r="AD11" s="5" t="n">
        <v>3</v>
      </c>
      <c r="AE11" s="5" t="n">
        <v>4</v>
      </c>
      <c r="AF11" s="5" t="n">
        <v>0</v>
      </c>
      <c r="AG11" s="5" t="n">
        <v>80344</v>
      </c>
      <c r="AH11" s="5" t="n">
        <v>0</v>
      </c>
      <c r="AI11" s="5" t="n">
        <v>0</v>
      </c>
      <c r="AJ11" s="5" t="n">
        <v>0</v>
      </c>
      <c r="AK11" s="5" t="n">
        <v>7</v>
      </c>
      <c r="AL11" s="5" t="n">
        <v>0</v>
      </c>
      <c r="AM11" s="5" t="n">
        <v>1458878</v>
      </c>
      <c r="AN11" s="5" t="n">
        <f aca="false">SUM(C11:AL11)-AM11</f>
        <v>0</v>
      </c>
    </row>
    <row r="12" customFormat="false" ht="15" hidden="false" customHeight="false" outlineLevel="0" collapsed="false">
      <c r="A12" s="4" t="s">
        <v>20</v>
      </c>
      <c r="B12" s="4" t="s">
        <v>81</v>
      </c>
      <c r="C12" s="5" t="n">
        <v>0</v>
      </c>
      <c r="D12" s="5" t="n">
        <v>0</v>
      </c>
      <c r="E12" s="5" t="n">
        <v>0</v>
      </c>
      <c r="F12" s="5" t="n">
        <v>878</v>
      </c>
      <c r="G12" s="5" t="n">
        <v>49474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2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48</v>
      </c>
      <c r="V12" s="5" t="n">
        <v>0</v>
      </c>
      <c r="W12" s="5" t="n">
        <v>368</v>
      </c>
      <c r="X12" s="5" t="n">
        <v>3539</v>
      </c>
      <c r="Y12" s="5" t="n">
        <v>2915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1335</v>
      </c>
      <c r="AH12" s="5" t="n">
        <v>0</v>
      </c>
      <c r="AI12" s="5" t="n">
        <v>0</v>
      </c>
      <c r="AJ12" s="5" t="n">
        <v>0</v>
      </c>
      <c r="AK12" s="5" t="n">
        <v>2</v>
      </c>
      <c r="AL12" s="5" t="n">
        <v>0</v>
      </c>
      <c r="AM12" s="5" t="n">
        <v>58561</v>
      </c>
      <c r="AN12" s="5" t="n">
        <f aca="false">SUM(C12:AL12)-AM12</f>
        <v>0</v>
      </c>
    </row>
    <row r="13" customFormat="false" ht="15" hidden="false" customHeight="false" outlineLevel="0" collapsed="false">
      <c r="A13" s="4" t="s">
        <v>21</v>
      </c>
      <c r="B13" s="4" t="s">
        <v>80</v>
      </c>
      <c r="C13" s="5" t="n">
        <v>0</v>
      </c>
      <c r="D13" s="5" t="n">
        <v>0</v>
      </c>
      <c r="E13" s="5" t="n">
        <v>0</v>
      </c>
      <c r="F13" s="5" t="n">
        <v>289</v>
      </c>
      <c r="G13" s="5" t="n">
        <v>608490</v>
      </c>
      <c r="H13" s="5" t="n">
        <v>28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255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676</v>
      </c>
      <c r="V13" s="5" t="n">
        <v>0</v>
      </c>
      <c r="W13" s="5" t="n">
        <v>2471</v>
      </c>
      <c r="X13" s="5" t="n">
        <v>977476</v>
      </c>
      <c r="Y13" s="5" t="n">
        <v>122962</v>
      </c>
      <c r="Z13" s="5" t="n">
        <v>17</v>
      </c>
      <c r="AA13" s="5" t="n">
        <v>1</v>
      </c>
      <c r="AB13" s="5" t="n">
        <v>0</v>
      </c>
      <c r="AC13" s="5" t="n">
        <v>0</v>
      </c>
      <c r="AD13" s="5" t="n">
        <v>11</v>
      </c>
      <c r="AE13" s="5" t="n">
        <v>9</v>
      </c>
      <c r="AF13" s="5" t="n">
        <v>0</v>
      </c>
      <c r="AG13" s="5" t="n">
        <v>93916</v>
      </c>
      <c r="AH13" s="5" t="n">
        <v>0</v>
      </c>
      <c r="AI13" s="5" t="n">
        <v>0</v>
      </c>
      <c r="AJ13" s="5" t="n">
        <v>0</v>
      </c>
      <c r="AK13" s="5" t="n">
        <v>11</v>
      </c>
      <c r="AL13" s="5" t="n">
        <v>0</v>
      </c>
      <c r="AM13" s="5" t="n">
        <v>1806613</v>
      </c>
      <c r="AN13" s="5" t="n">
        <f aca="false">SUM(C13:AL13)-AM13</f>
        <v>0</v>
      </c>
    </row>
    <row r="14" customFormat="false" ht="15" hidden="false" customHeight="false" outlineLevel="0" collapsed="false">
      <c r="A14" s="4" t="s">
        <v>21</v>
      </c>
      <c r="B14" s="4" t="s">
        <v>81</v>
      </c>
      <c r="C14" s="5" t="n">
        <v>0</v>
      </c>
      <c r="D14" s="5" t="n">
        <v>0</v>
      </c>
      <c r="E14" s="5" t="n">
        <v>0</v>
      </c>
      <c r="F14" s="5" t="n">
        <v>843</v>
      </c>
      <c r="G14" s="5" t="n">
        <v>64400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5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21</v>
      </c>
      <c r="V14" s="5" t="n">
        <v>0</v>
      </c>
      <c r="W14" s="5" t="n">
        <v>311</v>
      </c>
      <c r="X14" s="5" t="n">
        <v>4224</v>
      </c>
      <c r="Y14" s="5" t="n">
        <v>6486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1</v>
      </c>
      <c r="AF14" s="5" t="n">
        <v>0</v>
      </c>
      <c r="AG14" s="5" t="n">
        <v>1459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77750</v>
      </c>
      <c r="AN14" s="5" t="n">
        <f aca="false">SUM(C14:AL14)-AM14</f>
        <v>0</v>
      </c>
    </row>
    <row r="15" customFormat="false" ht="15" hidden="false" customHeight="false" outlineLevel="0" collapsed="false">
      <c r="A15" s="4" t="s">
        <v>22</v>
      </c>
      <c r="B15" s="4" t="s">
        <v>80</v>
      </c>
      <c r="C15" s="5" t="n">
        <v>0</v>
      </c>
      <c r="D15" s="5" t="n">
        <v>0</v>
      </c>
      <c r="E15" s="5" t="n">
        <v>0</v>
      </c>
      <c r="F15" s="5" t="n">
        <v>1408</v>
      </c>
      <c r="G15" s="5" t="n">
        <v>768682</v>
      </c>
      <c r="H15" s="5" t="n">
        <v>19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362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456</v>
      </c>
      <c r="V15" s="5" t="n">
        <v>0</v>
      </c>
      <c r="W15" s="5" t="n">
        <v>2654</v>
      </c>
      <c r="X15" s="5" t="n">
        <v>1198126</v>
      </c>
      <c r="Y15" s="5" t="n">
        <v>167352</v>
      </c>
      <c r="Z15" s="5" t="n">
        <v>36</v>
      </c>
      <c r="AA15" s="5" t="n">
        <v>5</v>
      </c>
      <c r="AB15" s="5" t="n">
        <v>1</v>
      </c>
      <c r="AC15" s="5" t="n">
        <v>0</v>
      </c>
      <c r="AD15" s="5" t="n">
        <v>6</v>
      </c>
      <c r="AE15" s="5" t="n">
        <v>6</v>
      </c>
      <c r="AF15" s="5" t="n">
        <v>0</v>
      </c>
      <c r="AG15" s="5" t="n">
        <v>81698</v>
      </c>
      <c r="AH15" s="5" t="n">
        <v>2</v>
      </c>
      <c r="AI15" s="5" t="n">
        <v>0</v>
      </c>
      <c r="AJ15" s="5" t="n">
        <v>0</v>
      </c>
      <c r="AK15" s="5" t="n">
        <v>9</v>
      </c>
      <c r="AL15" s="5" t="n">
        <v>0</v>
      </c>
      <c r="AM15" s="5" t="n">
        <v>2220824</v>
      </c>
      <c r="AN15" s="5" t="n">
        <f aca="false">SUM(C15:AL15)-AM15</f>
        <v>0</v>
      </c>
    </row>
    <row r="16" customFormat="false" ht="15" hidden="false" customHeight="false" outlineLevel="0" collapsed="false">
      <c r="A16" s="4" t="s">
        <v>22</v>
      </c>
      <c r="B16" s="4" t="s">
        <v>81</v>
      </c>
      <c r="C16" s="5" t="n">
        <v>0</v>
      </c>
      <c r="D16" s="5" t="n">
        <v>0</v>
      </c>
      <c r="E16" s="5" t="n">
        <v>0</v>
      </c>
      <c r="F16" s="5" t="n">
        <v>6340</v>
      </c>
      <c r="G16" s="5" t="n">
        <v>79252</v>
      </c>
      <c r="H16" s="5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14</v>
      </c>
      <c r="N16" s="5" t="n">
        <v>0</v>
      </c>
      <c r="O16" s="5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15</v>
      </c>
      <c r="V16" s="5" t="n">
        <v>0</v>
      </c>
      <c r="W16" s="5" t="n">
        <v>79</v>
      </c>
      <c r="X16" s="5" t="n">
        <v>6485</v>
      </c>
      <c r="Y16" s="5" t="n">
        <v>11259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1547</v>
      </c>
      <c r="AH16" s="5" t="n">
        <v>0</v>
      </c>
      <c r="AI16" s="5" t="n">
        <v>0</v>
      </c>
      <c r="AJ16" s="5" t="n">
        <v>0</v>
      </c>
      <c r="AK16" s="5" t="n">
        <v>2</v>
      </c>
      <c r="AL16" s="5" t="n">
        <v>0</v>
      </c>
      <c r="AM16" s="5" t="n">
        <v>104995</v>
      </c>
      <c r="AN16" s="5" t="n">
        <f aca="false">SUM(C16:AL16)-AM16</f>
        <v>0</v>
      </c>
    </row>
    <row r="17" customFormat="false" ht="15" hidden="false" customHeight="false" outlineLevel="0" collapsed="false">
      <c r="A17" s="4" t="s">
        <v>23</v>
      </c>
      <c r="B17" s="4" t="s">
        <v>80</v>
      </c>
      <c r="C17" s="5" t="n">
        <v>1</v>
      </c>
      <c r="D17" s="5" t="n">
        <v>0</v>
      </c>
      <c r="E17" s="5" t="n">
        <v>0</v>
      </c>
      <c r="F17" s="5" t="n">
        <v>1907</v>
      </c>
      <c r="G17" s="5" t="n">
        <v>1049354</v>
      </c>
      <c r="H17" s="5" t="n">
        <v>16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658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352</v>
      </c>
      <c r="V17" s="5" t="n">
        <v>0</v>
      </c>
      <c r="W17" s="5" t="n">
        <v>2710</v>
      </c>
      <c r="X17" s="5" t="n">
        <v>1111966</v>
      </c>
      <c r="Y17" s="5" t="n">
        <v>181000</v>
      </c>
      <c r="Z17" s="5" t="n">
        <v>26</v>
      </c>
      <c r="AA17" s="5" t="n">
        <v>8</v>
      </c>
      <c r="AB17" s="5" t="n">
        <v>0</v>
      </c>
      <c r="AC17" s="5" t="n">
        <v>0</v>
      </c>
      <c r="AD17" s="5" t="n">
        <v>6</v>
      </c>
      <c r="AE17" s="5" t="n">
        <v>5</v>
      </c>
      <c r="AF17" s="5" t="n">
        <v>0</v>
      </c>
      <c r="AG17" s="5" t="n">
        <v>83665</v>
      </c>
      <c r="AH17" s="5" t="n">
        <v>0</v>
      </c>
      <c r="AI17" s="5" t="n">
        <v>0</v>
      </c>
      <c r="AJ17" s="5" t="n">
        <v>0</v>
      </c>
      <c r="AK17" s="5" t="n">
        <v>18</v>
      </c>
      <c r="AL17" s="5" t="n">
        <v>0</v>
      </c>
      <c r="AM17" s="5" t="n">
        <v>2431694</v>
      </c>
      <c r="AN17" s="5" t="n">
        <f aca="false">SUM(C17:AL17)-AM17</f>
        <v>0</v>
      </c>
    </row>
    <row r="18" customFormat="false" ht="15" hidden="false" customHeight="false" outlineLevel="0" collapsed="false">
      <c r="A18" s="4" t="s">
        <v>23</v>
      </c>
      <c r="B18" s="4" t="s">
        <v>81</v>
      </c>
      <c r="C18" s="5" t="n">
        <v>0</v>
      </c>
      <c r="D18" s="5" t="n">
        <v>0</v>
      </c>
      <c r="E18" s="5" t="n">
        <v>0</v>
      </c>
      <c r="F18" s="5" t="n">
        <v>3414</v>
      </c>
      <c r="G18" s="5" t="n">
        <v>95611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8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8</v>
      </c>
      <c r="V18" s="5" t="n">
        <v>0</v>
      </c>
      <c r="W18" s="5" t="n">
        <v>84</v>
      </c>
      <c r="X18" s="5" t="n">
        <v>6215</v>
      </c>
      <c r="Y18" s="5" t="n">
        <v>7978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1</v>
      </c>
      <c r="AF18" s="5" t="n">
        <v>0</v>
      </c>
      <c r="AG18" s="5" t="n">
        <v>1204</v>
      </c>
      <c r="AH18" s="5" t="n">
        <v>0</v>
      </c>
      <c r="AI18" s="5" t="n">
        <v>0</v>
      </c>
      <c r="AJ18" s="5" t="n">
        <v>0</v>
      </c>
      <c r="AK18" s="5" t="n">
        <v>1</v>
      </c>
      <c r="AL18" s="5" t="n">
        <v>0</v>
      </c>
      <c r="AM18" s="5" t="n">
        <v>114524</v>
      </c>
      <c r="AN18" s="5" t="n">
        <f aca="false">SUM(C18:AL18)-AM18</f>
        <v>0</v>
      </c>
    </row>
    <row r="19" customFormat="false" ht="15" hidden="false" customHeight="false" outlineLevel="0" collapsed="false">
      <c r="A19" s="4" t="s">
        <v>24</v>
      </c>
      <c r="B19" s="4" t="s">
        <v>80</v>
      </c>
      <c r="C19" s="5" t="n">
        <v>1</v>
      </c>
      <c r="D19" s="5" t="n">
        <v>0</v>
      </c>
      <c r="E19" s="5" t="n">
        <v>0</v>
      </c>
      <c r="F19" s="5" t="n">
        <v>1667</v>
      </c>
      <c r="G19" s="5" t="n">
        <v>1310734</v>
      </c>
      <c r="H19" s="5" t="n">
        <v>31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200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233</v>
      </c>
      <c r="V19" s="5" t="n">
        <v>0</v>
      </c>
      <c r="W19" s="5" t="n">
        <v>2430</v>
      </c>
      <c r="X19" s="5" t="n">
        <v>935331</v>
      </c>
      <c r="Y19" s="5" t="n">
        <v>148710</v>
      </c>
      <c r="Z19" s="5" t="n">
        <v>6</v>
      </c>
      <c r="AA19" s="5" t="n">
        <v>6</v>
      </c>
      <c r="AB19" s="5" t="n">
        <v>0</v>
      </c>
      <c r="AC19" s="5" t="n">
        <v>0</v>
      </c>
      <c r="AD19" s="5" t="n">
        <v>2</v>
      </c>
      <c r="AE19" s="5" t="n">
        <v>6</v>
      </c>
      <c r="AF19" s="5" t="n">
        <v>1</v>
      </c>
      <c r="AG19" s="5" t="n">
        <v>63740</v>
      </c>
      <c r="AH19" s="5" t="n">
        <v>0</v>
      </c>
      <c r="AI19" s="5" t="n">
        <v>0</v>
      </c>
      <c r="AJ19" s="5" t="n">
        <v>0</v>
      </c>
      <c r="AK19" s="5" t="n">
        <v>8</v>
      </c>
      <c r="AL19" s="5" t="n">
        <v>0</v>
      </c>
      <c r="AM19" s="5" t="n">
        <v>2463107</v>
      </c>
      <c r="AN19" s="5" t="n">
        <f aca="false">SUM(C19:AL19)-AM19</f>
        <v>0</v>
      </c>
    </row>
    <row r="20" customFormat="false" ht="15" hidden="false" customHeight="false" outlineLevel="0" collapsed="false">
      <c r="A20" s="4" t="s">
        <v>24</v>
      </c>
      <c r="B20" s="4" t="s">
        <v>81</v>
      </c>
      <c r="C20" s="5" t="n">
        <v>0</v>
      </c>
      <c r="D20" s="5" t="n">
        <v>0</v>
      </c>
      <c r="E20" s="5" t="n">
        <v>0</v>
      </c>
      <c r="F20" s="5" t="n">
        <v>1185</v>
      </c>
      <c r="G20" s="5" t="n">
        <v>116455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2</v>
      </c>
      <c r="V20" s="5" t="n">
        <v>0</v>
      </c>
      <c r="W20" s="5" t="n">
        <v>91</v>
      </c>
      <c r="X20" s="5" t="n">
        <v>5577</v>
      </c>
      <c r="Y20" s="5" t="n">
        <v>6498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3</v>
      </c>
      <c r="AF20" s="5" t="n">
        <v>0</v>
      </c>
      <c r="AG20" s="5" t="n">
        <v>563</v>
      </c>
      <c r="AH20" s="5" t="n">
        <v>0</v>
      </c>
      <c r="AI20" s="5" t="n">
        <v>0</v>
      </c>
      <c r="AJ20" s="5" t="n">
        <v>0</v>
      </c>
      <c r="AK20" s="5" t="n">
        <v>4</v>
      </c>
      <c r="AL20" s="5" t="n">
        <v>0</v>
      </c>
      <c r="AM20" s="5" t="n">
        <v>130382</v>
      </c>
      <c r="AN20" s="5" t="n">
        <f aca="false">SUM(C20:AL20)-AM20</f>
        <v>0</v>
      </c>
    </row>
    <row r="21" customFormat="false" ht="15" hidden="false" customHeight="false" outlineLevel="0" collapsed="false">
      <c r="A21" s="4" t="s">
        <v>25</v>
      </c>
      <c r="B21" s="4" t="s">
        <v>80</v>
      </c>
      <c r="C21" s="5" t="n">
        <v>0</v>
      </c>
      <c r="D21" s="5" t="n">
        <v>0</v>
      </c>
      <c r="E21" s="5" t="n">
        <v>0</v>
      </c>
      <c r="F21" s="5" t="n">
        <v>1525</v>
      </c>
      <c r="G21" s="5" t="n">
        <v>1211564</v>
      </c>
      <c r="H21" s="5" t="n">
        <v>19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417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182</v>
      </c>
      <c r="V21" s="5" t="n">
        <v>0</v>
      </c>
      <c r="W21" s="5" t="n">
        <v>1829</v>
      </c>
      <c r="X21" s="5" t="n">
        <v>959116</v>
      </c>
      <c r="Y21" s="5" t="n">
        <v>132892</v>
      </c>
      <c r="Z21" s="5" t="n">
        <v>2</v>
      </c>
      <c r="AA21" s="5" t="n">
        <v>6</v>
      </c>
      <c r="AB21" s="5" t="n">
        <v>0</v>
      </c>
      <c r="AC21" s="5" t="n">
        <v>0</v>
      </c>
      <c r="AD21" s="5" t="n">
        <v>3</v>
      </c>
      <c r="AE21" s="5" t="n">
        <v>4</v>
      </c>
      <c r="AF21" s="5" t="n">
        <v>0</v>
      </c>
      <c r="AG21" s="5" t="n">
        <v>36838</v>
      </c>
      <c r="AH21" s="5" t="n">
        <v>0</v>
      </c>
      <c r="AI21" s="5" t="n">
        <v>0</v>
      </c>
      <c r="AJ21" s="5" t="n">
        <v>0</v>
      </c>
      <c r="AK21" s="5" t="n">
        <v>7</v>
      </c>
      <c r="AL21" s="5" t="n">
        <v>0</v>
      </c>
      <c r="AM21" s="5" t="n">
        <v>2344405</v>
      </c>
      <c r="AN21" s="5" t="n">
        <f aca="false">SUM(C21:AL21)-AM21</f>
        <v>0</v>
      </c>
    </row>
    <row r="22" customFormat="false" ht="15" hidden="false" customHeight="false" outlineLevel="0" collapsed="false">
      <c r="A22" s="4" t="s">
        <v>25</v>
      </c>
      <c r="B22" s="4" t="s">
        <v>81</v>
      </c>
      <c r="C22" s="5" t="n">
        <v>0</v>
      </c>
      <c r="D22" s="5" t="n">
        <v>0</v>
      </c>
      <c r="E22" s="5" t="n">
        <v>0</v>
      </c>
      <c r="F22" s="5" t="n">
        <v>338</v>
      </c>
      <c r="G22" s="5" t="n">
        <v>102413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21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2</v>
      </c>
      <c r="V22" s="5" t="n">
        <v>0</v>
      </c>
      <c r="W22" s="5" t="n">
        <v>91</v>
      </c>
      <c r="X22" s="5" t="n">
        <v>6173</v>
      </c>
      <c r="Y22" s="5" t="n">
        <v>8990</v>
      </c>
      <c r="Z22" s="5" t="n">
        <v>0</v>
      </c>
      <c r="AA22" s="5" t="n">
        <v>1</v>
      </c>
      <c r="AB22" s="5" t="n">
        <v>0</v>
      </c>
      <c r="AC22" s="5" t="n">
        <v>0</v>
      </c>
      <c r="AD22" s="5" t="n">
        <v>1</v>
      </c>
      <c r="AE22" s="5" t="n">
        <v>0</v>
      </c>
      <c r="AF22" s="5" t="n">
        <v>0</v>
      </c>
      <c r="AG22" s="5" t="n">
        <v>371</v>
      </c>
      <c r="AH22" s="5" t="n">
        <v>0</v>
      </c>
      <c r="AI22" s="5" t="n">
        <v>0</v>
      </c>
      <c r="AJ22" s="5" t="n">
        <v>0</v>
      </c>
      <c r="AK22" s="5" t="n">
        <v>2</v>
      </c>
      <c r="AL22" s="5" t="n">
        <v>0</v>
      </c>
      <c r="AM22" s="5" t="n">
        <v>118403</v>
      </c>
      <c r="AN22" s="5" t="n">
        <f aca="false">SUM(C22:AL22)-AM22</f>
        <v>0</v>
      </c>
    </row>
    <row r="23" customFormat="false" ht="15" hidden="false" customHeight="false" outlineLevel="0" collapsed="false">
      <c r="A23" s="4" t="s">
        <v>26</v>
      </c>
      <c r="B23" s="4" t="s">
        <v>80</v>
      </c>
      <c r="C23" s="5" t="n">
        <v>1</v>
      </c>
      <c r="D23" s="5" t="n">
        <v>0</v>
      </c>
      <c r="E23" s="5" t="n">
        <v>0</v>
      </c>
      <c r="F23" s="5" t="n">
        <v>2222</v>
      </c>
      <c r="G23" s="5" t="n">
        <v>1178102</v>
      </c>
      <c r="H23" s="5" t="n">
        <v>15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570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105</v>
      </c>
      <c r="V23" s="5" t="n">
        <v>0</v>
      </c>
      <c r="W23" s="5" t="n">
        <v>1294</v>
      </c>
      <c r="X23" s="5" t="n">
        <v>1125370</v>
      </c>
      <c r="Y23" s="5" t="n">
        <v>158874</v>
      </c>
      <c r="Z23" s="5" t="n">
        <v>3</v>
      </c>
      <c r="AA23" s="5" t="n">
        <v>10</v>
      </c>
      <c r="AB23" s="5" t="n">
        <v>0</v>
      </c>
      <c r="AC23" s="5" t="n">
        <v>0</v>
      </c>
      <c r="AD23" s="5" t="n">
        <v>4</v>
      </c>
      <c r="AE23" s="5" t="n">
        <v>6</v>
      </c>
      <c r="AF23" s="5" t="n">
        <v>0</v>
      </c>
      <c r="AG23" s="5" t="n">
        <v>38864</v>
      </c>
      <c r="AH23" s="5" t="n">
        <v>0</v>
      </c>
      <c r="AI23" s="5" t="n">
        <v>0</v>
      </c>
      <c r="AJ23" s="5" t="n">
        <v>0</v>
      </c>
      <c r="AK23" s="5" t="n">
        <v>3</v>
      </c>
      <c r="AL23" s="5" t="n">
        <v>0</v>
      </c>
      <c r="AM23" s="5" t="n">
        <v>2505444</v>
      </c>
      <c r="AN23" s="5" t="n">
        <f aca="false">SUM(C23:AL23)-AM23</f>
        <v>0</v>
      </c>
    </row>
    <row r="24" customFormat="false" ht="15" hidden="false" customHeight="false" outlineLevel="0" collapsed="false">
      <c r="A24" s="4" t="s">
        <v>26</v>
      </c>
      <c r="B24" s="4" t="s">
        <v>81</v>
      </c>
      <c r="C24" s="5" t="n">
        <v>0</v>
      </c>
      <c r="D24" s="5" t="n">
        <v>0</v>
      </c>
      <c r="E24" s="5" t="n">
        <v>0</v>
      </c>
      <c r="F24" s="5" t="n">
        <v>264</v>
      </c>
      <c r="G24" s="5" t="n">
        <v>85001</v>
      </c>
      <c r="H24" s="5" t="n">
        <v>2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4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1</v>
      </c>
      <c r="V24" s="5" t="n">
        <v>0</v>
      </c>
      <c r="W24" s="5" t="n">
        <v>82</v>
      </c>
      <c r="X24" s="5" t="n">
        <v>6593</v>
      </c>
      <c r="Y24" s="5" t="n">
        <v>9354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449</v>
      </c>
      <c r="AH24" s="5" t="n">
        <v>0</v>
      </c>
      <c r="AI24" s="5" t="n">
        <v>0</v>
      </c>
      <c r="AJ24" s="5" t="n">
        <v>0</v>
      </c>
      <c r="AK24" s="5" t="n">
        <v>2</v>
      </c>
      <c r="AL24" s="5" t="n">
        <v>0</v>
      </c>
      <c r="AM24" s="5" t="n">
        <v>101752</v>
      </c>
      <c r="AN24" s="5" t="n">
        <f aca="false">SUM(C24:AL24)-AM24</f>
        <v>0</v>
      </c>
    </row>
    <row r="25" customFormat="false" ht="15" hidden="false" customHeight="false" outlineLevel="0" collapsed="false">
      <c r="A25" s="4" t="s">
        <v>27</v>
      </c>
      <c r="B25" s="4" t="s">
        <v>80</v>
      </c>
      <c r="C25" s="5" t="n">
        <v>0</v>
      </c>
      <c r="D25" s="5" t="n">
        <v>0</v>
      </c>
      <c r="E25" s="5" t="n">
        <v>0</v>
      </c>
      <c r="F25" s="5" t="n">
        <v>2195</v>
      </c>
      <c r="G25" s="5" t="n">
        <v>1113663</v>
      </c>
      <c r="H25" s="5" t="n">
        <v>1730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679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125</v>
      </c>
      <c r="V25" s="5" t="n">
        <v>0</v>
      </c>
      <c r="W25" s="5" t="n">
        <v>2998</v>
      </c>
      <c r="X25" s="5" t="n">
        <v>1291124</v>
      </c>
      <c r="Y25" s="5" t="n">
        <v>169426</v>
      </c>
      <c r="Z25" s="5" t="n">
        <v>1</v>
      </c>
      <c r="AA25" s="5" t="n">
        <v>17</v>
      </c>
      <c r="AB25" s="5" t="n">
        <v>0</v>
      </c>
      <c r="AC25" s="5" t="n">
        <v>0</v>
      </c>
      <c r="AD25" s="5" t="n">
        <v>9</v>
      </c>
      <c r="AE25" s="5" t="n">
        <v>174</v>
      </c>
      <c r="AF25" s="5" t="n">
        <v>0</v>
      </c>
      <c r="AG25" s="5" t="n">
        <v>28895</v>
      </c>
      <c r="AH25" s="5" t="n">
        <v>0</v>
      </c>
      <c r="AI25" s="5" t="n">
        <v>0</v>
      </c>
      <c r="AJ25" s="5" t="n">
        <v>0</v>
      </c>
      <c r="AK25" s="5" t="n">
        <v>10</v>
      </c>
      <c r="AL25" s="5" t="n">
        <v>0</v>
      </c>
      <c r="AM25" s="5" t="n">
        <v>2611047</v>
      </c>
      <c r="AN25" s="5" t="n">
        <f aca="false">SUM(C25:AL25)-AM25</f>
        <v>0</v>
      </c>
    </row>
    <row r="26" customFormat="false" ht="15" hidden="false" customHeight="false" outlineLevel="0" collapsed="false">
      <c r="A26" s="4" t="s">
        <v>27</v>
      </c>
      <c r="B26" s="4" t="s">
        <v>81</v>
      </c>
      <c r="C26" s="5" t="n">
        <v>0</v>
      </c>
      <c r="D26" s="5" t="n">
        <v>0</v>
      </c>
      <c r="E26" s="5" t="n">
        <v>0</v>
      </c>
      <c r="F26" s="5" t="n">
        <v>601</v>
      </c>
      <c r="G26" s="5" t="n">
        <v>111742</v>
      </c>
      <c r="H26" s="5" t="n">
        <v>70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115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2</v>
      </c>
      <c r="V26" s="5" t="n">
        <v>0</v>
      </c>
      <c r="W26" s="5" t="n">
        <v>196</v>
      </c>
      <c r="X26" s="5" t="n">
        <v>8923</v>
      </c>
      <c r="Y26" s="5" t="n">
        <v>19318</v>
      </c>
      <c r="Z26" s="5" t="n">
        <v>0</v>
      </c>
      <c r="AA26" s="5" t="n">
        <v>1</v>
      </c>
      <c r="AB26" s="5" t="n">
        <v>0</v>
      </c>
      <c r="AC26" s="5" t="n">
        <v>0</v>
      </c>
      <c r="AD26" s="5" t="n">
        <v>0</v>
      </c>
      <c r="AE26" s="5" t="n">
        <v>1</v>
      </c>
      <c r="AF26" s="5" t="n">
        <v>0</v>
      </c>
      <c r="AG26" s="5" t="n">
        <v>535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141504</v>
      </c>
      <c r="AN26" s="5" t="n">
        <f aca="false">SUM(C26:AL26)-AM26</f>
        <v>0</v>
      </c>
    </row>
    <row r="27" customFormat="false" ht="15" hidden="false" customHeight="false" outlineLevel="0" collapsed="false">
      <c r="A27" s="4" t="s">
        <v>28</v>
      </c>
      <c r="B27" s="4" t="s">
        <v>80</v>
      </c>
      <c r="C27" s="5" t="n">
        <v>1</v>
      </c>
      <c r="D27" s="5" t="n">
        <v>0</v>
      </c>
      <c r="E27" s="5" t="n">
        <v>0</v>
      </c>
      <c r="F27" s="5" t="n">
        <v>1423</v>
      </c>
      <c r="G27" s="5" t="n">
        <v>1088806</v>
      </c>
      <c r="H27" s="5" t="n">
        <v>18539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631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173</v>
      </c>
      <c r="V27" s="5" t="n">
        <v>0</v>
      </c>
      <c r="W27" s="5" t="n">
        <v>3773</v>
      </c>
      <c r="X27" s="5" t="n">
        <v>1470959</v>
      </c>
      <c r="Y27" s="5" t="n">
        <v>192940</v>
      </c>
      <c r="Z27" s="5" t="n">
        <v>1</v>
      </c>
      <c r="AA27" s="5" t="n">
        <v>12</v>
      </c>
      <c r="AB27" s="5" t="n">
        <v>0</v>
      </c>
      <c r="AC27" s="5" t="n">
        <v>0</v>
      </c>
      <c r="AD27" s="5" t="n">
        <v>7</v>
      </c>
      <c r="AE27" s="5" t="n">
        <v>643</v>
      </c>
      <c r="AF27" s="5" t="n">
        <v>0</v>
      </c>
      <c r="AG27" s="5" t="n">
        <v>27839</v>
      </c>
      <c r="AH27" s="5" t="n">
        <v>0</v>
      </c>
      <c r="AI27" s="5" t="n">
        <v>0</v>
      </c>
      <c r="AJ27" s="5" t="n">
        <v>1</v>
      </c>
      <c r="AK27" s="5" t="n">
        <v>5</v>
      </c>
      <c r="AL27" s="5" t="n">
        <v>0</v>
      </c>
      <c r="AM27" s="5" t="n">
        <v>2805754</v>
      </c>
      <c r="AN27" s="5" t="n">
        <f aca="false">SUM(C27:AL27)-AM27</f>
        <v>0</v>
      </c>
    </row>
    <row r="28" customFormat="false" ht="15" hidden="false" customHeight="false" outlineLevel="0" collapsed="false">
      <c r="A28" s="4" t="s">
        <v>28</v>
      </c>
      <c r="B28" s="4" t="s">
        <v>81</v>
      </c>
      <c r="C28" s="5" t="n">
        <v>0</v>
      </c>
      <c r="D28" s="5" t="n">
        <v>0</v>
      </c>
      <c r="E28" s="5" t="n">
        <v>0</v>
      </c>
      <c r="F28" s="5" t="n">
        <v>189</v>
      </c>
      <c r="G28" s="5" t="n">
        <v>120897</v>
      </c>
      <c r="H28" s="5" t="n">
        <v>739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140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9</v>
      </c>
      <c r="V28" s="5" t="n">
        <v>0</v>
      </c>
      <c r="W28" s="5" t="n">
        <v>502</v>
      </c>
      <c r="X28" s="5" t="n">
        <v>14025</v>
      </c>
      <c r="Y28" s="5" t="n">
        <v>46264</v>
      </c>
      <c r="Z28" s="5" t="n">
        <v>0</v>
      </c>
      <c r="AA28" s="5" t="n">
        <v>1</v>
      </c>
      <c r="AB28" s="5" t="n">
        <v>0</v>
      </c>
      <c r="AC28" s="5" t="n">
        <v>0</v>
      </c>
      <c r="AD28" s="5" t="n">
        <v>0</v>
      </c>
      <c r="AE28" s="5" t="n">
        <v>16</v>
      </c>
      <c r="AF28" s="5" t="n">
        <v>0</v>
      </c>
      <c r="AG28" s="5" t="n">
        <v>1297</v>
      </c>
      <c r="AH28" s="5" t="n">
        <v>0</v>
      </c>
      <c r="AI28" s="5" t="n">
        <v>0</v>
      </c>
      <c r="AJ28" s="5" t="n">
        <v>0</v>
      </c>
      <c r="AK28" s="5" t="n">
        <v>1</v>
      </c>
      <c r="AL28" s="5" t="n">
        <v>0</v>
      </c>
      <c r="AM28" s="5" t="n">
        <v>184080</v>
      </c>
      <c r="AN28" s="5" t="n">
        <f aca="false">SUM(C28:AL28)-AM28</f>
        <v>0</v>
      </c>
    </row>
    <row r="29" customFormat="false" ht="15" hidden="false" customHeight="false" outlineLevel="0" collapsed="false">
      <c r="A29" s="4" t="s">
        <v>29</v>
      </c>
      <c r="B29" s="4" t="s">
        <v>80</v>
      </c>
      <c r="C29" s="5" t="n">
        <v>0</v>
      </c>
      <c r="D29" s="5" t="n">
        <v>0</v>
      </c>
      <c r="E29" s="5" t="n">
        <v>0</v>
      </c>
      <c r="F29" s="5" t="n">
        <v>450</v>
      </c>
      <c r="G29" s="5" t="n">
        <v>1144664</v>
      </c>
      <c r="H29" s="5" t="n">
        <v>53315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914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139</v>
      </c>
      <c r="V29" s="5" t="n">
        <v>0</v>
      </c>
      <c r="W29" s="5" t="n">
        <v>6567</v>
      </c>
      <c r="X29" s="5" t="n">
        <v>1686500</v>
      </c>
      <c r="Y29" s="5" t="n">
        <v>199077</v>
      </c>
      <c r="Z29" s="5" t="n">
        <v>3</v>
      </c>
      <c r="AA29" s="5" t="n">
        <v>21</v>
      </c>
      <c r="AB29" s="5" t="n">
        <v>0</v>
      </c>
      <c r="AC29" s="5" t="n">
        <v>1</v>
      </c>
      <c r="AD29" s="5" t="n">
        <v>14</v>
      </c>
      <c r="AE29" s="5" t="n">
        <v>714</v>
      </c>
      <c r="AF29" s="5" t="n">
        <v>1</v>
      </c>
      <c r="AG29" s="5" t="n">
        <v>23686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0</v>
      </c>
      <c r="AM29" s="5" t="n">
        <v>3116070</v>
      </c>
      <c r="AN29" s="5" t="n">
        <f aca="false">SUM(C29:AL29)-AM29</f>
        <v>0</v>
      </c>
    </row>
    <row r="30" customFormat="false" ht="15" hidden="false" customHeight="false" outlineLevel="0" collapsed="false">
      <c r="A30" s="4" t="s">
        <v>29</v>
      </c>
      <c r="B30" s="4" t="s">
        <v>81</v>
      </c>
      <c r="C30" s="5" t="n">
        <v>0</v>
      </c>
      <c r="D30" s="5" t="n">
        <v>0</v>
      </c>
      <c r="E30" s="5" t="n">
        <v>0</v>
      </c>
      <c r="F30" s="5" t="n">
        <v>688</v>
      </c>
      <c r="G30" s="5" t="n">
        <v>86829</v>
      </c>
      <c r="H30" s="5" t="n">
        <v>945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272</v>
      </c>
      <c r="N30" s="5" t="n">
        <v>0</v>
      </c>
      <c r="O30" s="5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4</v>
      </c>
      <c r="V30" s="5" t="n">
        <v>0</v>
      </c>
      <c r="W30" s="5" t="n">
        <v>234</v>
      </c>
      <c r="X30" s="5" t="n">
        <v>13803</v>
      </c>
      <c r="Y30" s="5" t="n">
        <v>25007</v>
      </c>
      <c r="Z30" s="5" t="n">
        <v>0</v>
      </c>
      <c r="AA30" s="5" t="n">
        <v>1</v>
      </c>
      <c r="AB30" s="5" t="n">
        <v>0</v>
      </c>
      <c r="AC30" s="5" t="n">
        <v>0</v>
      </c>
      <c r="AD30" s="5" t="n">
        <v>0</v>
      </c>
      <c r="AE30" s="5" t="n">
        <v>14</v>
      </c>
      <c r="AF30" s="5" t="n">
        <v>0</v>
      </c>
      <c r="AG30" s="5" t="n">
        <v>1004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128802</v>
      </c>
      <c r="AN30" s="5" t="n">
        <f aca="false">SUM(C30:AL30)-AM30</f>
        <v>0</v>
      </c>
    </row>
    <row r="31" customFormat="false" ht="15" hidden="false" customHeight="false" outlineLevel="0" collapsed="false">
      <c r="A31" s="4" t="s">
        <v>30</v>
      </c>
      <c r="B31" s="4" t="s">
        <v>80</v>
      </c>
      <c r="C31" s="5" t="n">
        <v>0</v>
      </c>
      <c r="D31" s="5" t="n">
        <v>0</v>
      </c>
      <c r="E31" s="5" t="n">
        <v>0</v>
      </c>
      <c r="F31" s="5" t="n">
        <v>323</v>
      </c>
      <c r="G31" s="5" t="n">
        <v>1056301</v>
      </c>
      <c r="H31" s="5" t="n">
        <v>62547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1285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68</v>
      </c>
      <c r="V31" s="5" t="n">
        <v>0</v>
      </c>
      <c r="W31" s="5" t="n">
        <v>8104</v>
      </c>
      <c r="X31" s="5" t="n">
        <v>1709333</v>
      </c>
      <c r="Y31" s="5" t="n">
        <v>215591</v>
      </c>
      <c r="Z31" s="5" t="n">
        <v>3</v>
      </c>
      <c r="AA31" s="5" t="n">
        <v>25</v>
      </c>
      <c r="AB31" s="5" t="n">
        <v>0</v>
      </c>
      <c r="AC31" s="5" t="n">
        <v>7</v>
      </c>
      <c r="AD31" s="5" t="n">
        <v>14</v>
      </c>
      <c r="AE31" s="5" t="n">
        <v>29815</v>
      </c>
      <c r="AF31" s="5" t="n">
        <v>203</v>
      </c>
      <c r="AG31" s="5" t="n">
        <v>21699</v>
      </c>
      <c r="AH31" s="5" t="n">
        <v>1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3105320</v>
      </c>
      <c r="AN31" s="5" t="n">
        <f aca="false">SUM(C31:AL31)-AM31</f>
        <v>0</v>
      </c>
    </row>
    <row r="32" customFormat="false" ht="15" hidden="false" customHeight="false" outlineLevel="0" collapsed="false">
      <c r="A32" s="4" t="s">
        <v>30</v>
      </c>
      <c r="B32" s="4" t="s">
        <v>81</v>
      </c>
      <c r="C32" s="5" t="n">
        <v>0</v>
      </c>
      <c r="D32" s="5" t="n">
        <v>0</v>
      </c>
      <c r="E32" s="5" t="n">
        <v>0</v>
      </c>
      <c r="F32" s="5" t="n">
        <v>531</v>
      </c>
      <c r="G32" s="5" t="n">
        <v>91372</v>
      </c>
      <c r="H32" s="5" t="n">
        <v>1425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619</v>
      </c>
      <c r="N32" s="5" t="n">
        <v>0</v>
      </c>
      <c r="O32" s="5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6</v>
      </c>
      <c r="V32" s="5" t="n">
        <v>0</v>
      </c>
      <c r="W32" s="5" t="n">
        <v>234</v>
      </c>
      <c r="X32" s="5" t="n">
        <v>15247</v>
      </c>
      <c r="Y32" s="5" t="n">
        <v>42433</v>
      </c>
      <c r="Z32" s="5" t="n">
        <v>1</v>
      </c>
      <c r="AA32" s="5" t="n">
        <v>2</v>
      </c>
      <c r="AB32" s="5" t="n">
        <v>0</v>
      </c>
      <c r="AC32" s="5" t="n">
        <v>0</v>
      </c>
      <c r="AD32" s="5" t="n">
        <v>0</v>
      </c>
      <c r="AE32" s="5" t="n">
        <v>185</v>
      </c>
      <c r="AF32" s="5" t="n">
        <v>1</v>
      </c>
      <c r="AG32" s="5" t="n">
        <v>1019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153076</v>
      </c>
      <c r="AN32" s="5" t="n">
        <f aca="false">SUM(C32:AL32)-AM32</f>
        <v>0</v>
      </c>
    </row>
    <row r="33" customFormat="false" ht="15" hidden="false" customHeight="false" outlineLevel="0" collapsed="false">
      <c r="A33" s="4" t="s">
        <v>31</v>
      </c>
      <c r="B33" s="4" t="s">
        <v>80</v>
      </c>
      <c r="C33" s="5" t="n">
        <v>0</v>
      </c>
      <c r="D33" s="5" t="n">
        <v>0</v>
      </c>
      <c r="E33" s="5" t="n">
        <v>0</v>
      </c>
      <c r="F33" s="5" t="n">
        <v>353</v>
      </c>
      <c r="G33" s="5" t="n">
        <v>908838</v>
      </c>
      <c r="H33" s="5" t="n">
        <v>21150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1219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1</v>
      </c>
      <c r="U33" s="5" t="n">
        <v>13</v>
      </c>
      <c r="V33" s="5" t="n">
        <v>0</v>
      </c>
      <c r="W33" s="5" t="n">
        <v>3605</v>
      </c>
      <c r="X33" s="5" t="n">
        <v>1694370</v>
      </c>
      <c r="Y33" s="5" t="n">
        <v>204868</v>
      </c>
      <c r="Z33" s="5" t="n">
        <v>2</v>
      </c>
      <c r="AA33" s="5" t="n">
        <v>32</v>
      </c>
      <c r="AB33" s="5" t="n">
        <v>0</v>
      </c>
      <c r="AC33" s="5" t="n">
        <v>16</v>
      </c>
      <c r="AD33" s="5" t="n">
        <v>13</v>
      </c>
      <c r="AE33" s="5" t="n">
        <v>76125</v>
      </c>
      <c r="AF33" s="5" t="n">
        <v>401</v>
      </c>
      <c r="AG33" s="5" t="n">
        <v>16617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2927623</v>
      </c>
      <c r="AN33" s="5" t="n">
        <f aca="false">SUM(C33:AL33)-AM33</f>
        <v>0</v>
      </c>
    </row>
    <row r="34" customFormat="false" ht="15" hidden="false" customHeight="false" outlineLevel="0" collapsed="false">
      <c r="A34" s="4" t="s">
        <v>31</v>
      </c>
      <c r="B34" s="4" t="s">
        <v>81</v>
      </c>
      <c r="C34" s="5" t="n">
        <v>0</v>
      </c>
      <c r="D34" s="5" t="n">
        <v>0</v>
      </c>
      <c r="E34" s="5" t="n">
        <v>0</v>
      </c>
      <c r="F34" s="5" t="n">
        <v>272</v>
      </c>
      <c r="G34" s="5" t="n">
        <v>77819</v>
      </c>
      <c r="H34" s="5" t="n">
        <v>380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1516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32</v>
      </c>
      <c r="V34" s="5" t="n">
        <v>0</v>
      </c>
      <c r="W34" s="5" t="n">
        <v>47</v>
      </c>
      <c r="X34" s="5" t="n">
        <v>18813</v>
      </c>
      <c r="Y34" s="5" t="n">
        <v>40728</v>
      </c>
      <c r="Z34" s="5" t="n">
        <v>0</v>
      </c>
      <c r="AA34" s="5" t="n">
        <v>3</v>
      </c>
      <c r="AB34" s="5" t="n">
        <v>0</v>
      </c>
      <c r="AC34" s="5" t="n">
        <v>0</v>
      </c>
      <c r="AD34" s="5" t="n">
        <v>2</v>
      </c>
      <c r="AE34" s="5" t="n">
        <v>700</v>
      </c>
      <c r="AF34" s="5" t="n">
        <v>8</v>
      </c>
      <c r="AG34" s="5" t="n">
        <v>739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141059</v>
      </c>
      <c r="AN34" s="5" t="n">
        <f aca="false">SUM(C34:AL34)-AM34</f>
        <v>0</v>
      </c>
    </row>
    <row r="35" customFormat="false" ht="15" hidden="false" customHeight="false" outlineLevel="0" collapsed="false">
      <c r="A35" s="4" t="s">
        <v>32</v>
      </c>
      <c r="B35" s="4" t="s">
        <v>80</v>
      </c>
      <c r="C35" s="5" t="n">
        <v>0</v>
      </c>
      <c r="D35" s="5" t="n">
        <v>0</v>
      </c>
      <c r="E35" s="5" t="n">
        <v>0</v>
      </c>
      <c r="F35" s="5" t="n">
        <v>53</v>
      </c>
      <c r="G35" s="5" t="n">
        <v>435103</v>
      </c>
      <c r="H35" s="5" t="n">
        <v>189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5128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13</v>
      </c>
      <c r="V35" s="5" t="n">
        <v>0</v>
      </c>
      <c r="W35" s="5" t="n">
        <v>144</v>
      </c>
      <c r="X35" s="5" t="n">
        <v>1868354</v>
      </c>
      <c r="Y35" s="5" t="n">
        <v>214759</v>
      </c>
      <c r="Z35" s="5" t="n">
        <v>4</v>
      </c>
      <c r="AA35" s="5" t="n">
        <v>48</v>
      </c>
      <c r="AB35" s="5" t="n">
        <v>0</v>
      </c>
      <c r="AC35" s="5" t="n">
        <v>39</v>
      </c>
      <c r="AD35" s="5" t="n">
        <v>9</v>
      </c>
      <c r="AE35" s="5" t="n">
        <v>106489</v>
      </c>
      <c r="AF35" s="5" t="n">
        <v>673</v>
      </c>
      <c r="AG35" s="5" t="n">
        <v>12110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2643116</v>
      </c>
      <c r="AN35" s="5" t="n">
        <f aca="false">SUM(C35:AL35)-AM35</f>
        <v>0</v>
      </c>
    </row>
    <row r="36" customFormat="false" ht="15" hidden="false" customHeight="false" outlineLevel="0" collapsed="false">
      <c r="A36" s="4" t="s">
        <v>32</v>
      </c>
      <c r="B36" s="4" t="s">
        <v>81</v>
      </c>
      <c r="C36" s="5" t="n">
        <v>0</v>
      </c>
      <c r="D36" s="5" t="n">
        <v>0</v>
      </c>
      <c r="E36" s="5" t="n">
        <v>0</v>
      </c>
      <c r="F36" s="5" t="n">
        <v>44</v>
      </c>
      <c r="G36" s="5" t="n">
        <v>9278</v>
      </c>
      <c r="H36" s="5" t="n">
        <v>8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333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3</v>
      </c>
      <c r="V36" s="5" t="n">
        <v>0</v>
      </c>
      <c r="W36" s="5" t="n">
        <v>27</v>
      </c>
      <c r="X36" s="5" t="n">
        <v>14246</v>
      </c>
      <c r="Y36" s="5" t="n">
        <v>12218</v>
      </c>
      <c r="Z36" s="5" t="n">
        <v>0</v>
      </c>
      <c r="AA36" s="5" t="n">
        <v>3</v>
      </c>
      <c r="AB36" s="5" t="n">
        <v>0</v>
      </c>
      <c r="AC36" s="5" t="n">
        <v>2</v>
      </c>
      <c r="AD36" s="5" t="n">
        <v>0</v>
      </c>
      <c r="AE36" s="5" t="n">
        <v>621</v>
      </c>
      <c r="AF36" s="5" t="n">
        <v>30</v>
      </c>
      <c r="AG36" s="5" t="n">
        <v>354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37167</v>
      </c>
      <c r="AN36" s="5" t="n">
        <f aca="false">SUM(C36:AL36)-AM36</f>
        <v>0</v>
      </c>
    </row>
    <row r="37" customFormat="false" ht="15" hidden="false" customHeight="false" outlineLevel="0" collapsed="false">
      <c r="A37" s="4" t="s">
        <v>33</v>
      </c>
      <c r="B37" s="4" t="s">
        <v>80</v>
      </c>
      <c r="C37" s="5" t="n">
        <v>0</v>
      </c>
      <c r="D37" s="5" t="n">
        <v>0</v>
      </c>
      <c r="E37" s="5" t="n">
        <v>0</v>
      </c>
      <c r="F37" s="5" t="n">
        <v>54</v>
      </c>
      <c r="G37" s="5" t="n">
        <v>557901</v>
      </c>
      <c r="H37" s="5" t="n">
        <v>28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18857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1</v>
      </c>
      <c r="U37" s="5" t="n">
        <v>6</v>
      </c>
      <c r="V37" s="5" t="n">
        <v>0</v>
      </c>
      <c r="W37" s="5" t="n">
        <v>288</v>
      </c>
      <c r="X37" s="5" t="n">
        <v>2034499</v>
      </c>
      <c r="Y37" s="5" t="n">
        <v>276812</v>
      </c>
      <c r="Z37" s="5" t="n">
        <v>1</v>
      </c>
      <c r="AA37" s="5" t="n">
        <v>57</v>
      </c>
      <c r="AB37" s="5" t="n">
        <v>0</v>
      </c>
      <c r="AC37" s="5" t="n">
        <v>41</v>
      </c>
      <c r="AD37" s="5" t="n">
        <v>9</v>
      </c>
      <c r="AE37" s="5" t="n">
        <v>120794</v>
      </c>
      <c r="AF37" s="5" t="n">
        <v>691</v>
      </c>
      <c r="AG37" s="5" t="n">
        <v>9797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3019837</v>
      </c>
      <c r="AN37" s="5" t="n">
        <f aca="false">SUM(C37:AL37)-AM37</f>
        <v>0</v>
      </c>
    </row>
    <row r="38" customFormat="false" ht="15" hidden="false" customHeight="false" outlineLevel="0" collapsed="false">
      <c r="A38" s="4" t="s">
        <v>33</v>
      </c>
      <c r="B38" s="4" t="s">
        <v>81</v>
      </c>
      <c r="C38" s="5" t="n">
        <v>0</v>
      </c>
      <c r="D38" s="5" t="n">
        <v>0</v>
      </c>
      <c r="E38" s="5" t="n">
        <v>0</v>
      </c>
      <c r="F38" s="5" t="n">
        <v>38</v>
      </c>
      <c r="G38" s="5" t="n">
        <v>11882</v>
      </c>
      <c r="H38" s="5" t="n">
        <v>2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919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2</v>
      </c>
      <c r="V38" s="5" t="n">
        <v>0</v>
      </c>
      <c r="W38" s="5" t="n">
        <v>152</v>
      </c>
      <c r="X38" s="5" t="n">
        <v>17651</v>
      </c>
      <c r="Y38" s="5" t="n">
        <v>22235</v>
      </c>
      <c r="Z38" s="5" t="n">
        <v>0</v>
      </c>
      <c r="AA38" s="5" t="n">
        <v>2</v>
      </c>
      <c r="AB38" s="5" t="n">
        <v>0</v>
      </c>
      <c r="AC38" s="5" t="n">
        <v>0</v>
      </c>
      <c r="AD38" s="5" t="n">
        <v>0</v>
      </c>
      <c r="AE38" s="5" t="n">
        <v>1201</v>
      </c>
      <c r="AF38" s="5" t="n">
        <v>29</v>
      </c>
      <c r="AG38" s="5" t="n">
        <v>337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54450</v>
      </c>
      <c r="AN38" s="5" t="n">
        <f aca="false">SUM(C38:AL38)-AM38</f>
        <v>0</v>
      </c>
    </row>
    <row r="39" customFormat="false" ht="15" hidden="false" customHeight="false" outlineLevel="0" collapsed="false">
      <c r="A39" s="4" t="s">
        <v>34</v>
      </c>
      <c r="B39" s="4" t="s">
        <v>80</v>
      </c>
      <c r="C39" s="5" t="n">
        <v>0</v>
      </c>
      <c r="D39" s="5" t="n">
        <v>0</v>
      </c>
      <c r="E39" s="5" t="n">
        <v>0</v>
      </c>
      <c r="F39" s="5" t="n">
        <v>50</v>
      </c>
      <c r="G39" s="5" t="n">
        <v>689943</v>
      </c>
      <c r="H39" s="5" t="n">
        <v>1155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43794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2</v>
      </c>
      <c r="V39" s="5" t="n">
        <v>0</v>
      </c>
      <c r="W39" s="5" t="n">
        <v>97</v>
      </c>
      <c r="X39" s="5" t="n">
        <v>2266251</v>
      </c>
      <c r="Y39" s="5" t="n">
        <v>368917</v>
      </c>
      <c r="Z39" s="5" t="n">
        <v>1</v>
      </c>
      <c r="AA39" s="5" t="n">
        <v>66</v>
      </c>
      <c r="AB39" s="5" t="n">
        <v>1</v>
      </c>
      <c r="AC39" s="5" t="n">
        <v>81</v>
      </c>
      <c r="AD39" s="5" t="n">
        <v>26</v>
      </c>
      <c r="AE39" s="5" t="n">
        <v>258901</v>
      </c>
      <c r="AF39" s="5" t="n">
        <v>1173</v>
      </c>
      <c r="AG39" s="5" t="n">
        <v>8707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4</v>
      </c>
      <c r="AM39" s="5" t="n">
        <v>3639169</v>
      </c>
      <c r="AN39" s="5" t="n">
        <f aca="false">SUM(C39:AL39)-AM39</f>
        <v>0</v>
      </c>
    </row>
    <row r="40" customFormat="false" ht="15" hidden="false" customHeight="false" outlineLevel="0" collapsed="false">
      <c r="A40" s="4" t="s">
        <v>34</v>
      </c>
      <c r="B40" s="4" t="s">
        <v>81</v>
      </c>
      <c r="C40" s="5" t="n">
        <v>0</v>
      </c>
      <c r="D40" s="5" t="n">
        <v>0</v>
      </c>
      <c r="E40" s="5" t="n">
        <v>0</v>
      </c>
      <c r="F40" s="5" t="n">
        <v>175</v>
      </c>
      <c r="G40" s="5" t="n">
        <v>22492</v>
      </c>
      <c r="H40" s="5" t="n">
        <v>3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7292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4</v>
      </c>
      <c r="V40" s="5" t="n">
        <v>0</v>
      </c>
      <c r="W40" s="5" t="n">
        <v>98</v>
      </c>
      <c r="X40" s="5" t="n">
        <v>37933</v>
      </c>
      <c r="Y40" s="5" t="n">
        <v>77228</v>
      </c>
      <c r="Z40" s="5" t="n">
        <v>0</v>
      </c>
      <c r="AA40" s="5" t="n">
        <v>11</v>
      </c>
      <c r="AB40" s="5" t="n">
        <v>0</v>
      </c>
      <c r="AC40" s="5" t="n">
        <v>1</v>
      </c>
      <c r="AD40" s="5" t="n">
        <v>0</v>
      </c>
      <c r="AE40" s="5" t="n">
        <v>3657</v>
      </c>
      <c r="AF40" s="5" t="n">
        <v>56</v>
      </c>
      <c r="AG40" s="5" t="n">
        <v>377</v>
      </c>
      <c r="AH40" s="5" t="n">
        <v>0</v>
      </c>
      <c r="AI40" s="5" t="n">
        <v>0</v>
      </c>
      <c r="AJ40" s="5" t="n">
        <v>4</v>
      </c>
      <c r="AK40" s="5" t="n">
        <v>0</v>
      </c>
      <c r="AL40" s="5" t="n">
        <v>0</v>
      </c>
      <c r="AM40" s="5" t="n">
        <v>149331</v>
      </c>
      <c r="AN40" s="5" t="n">
        <f aca="false">SUM(C40:AL40)-AM40</f>
        <v>0</v>
      </c>
    </row>
    <row r="41" customFormat="false" ht="15" hidden="false" customHeight="false" outlineLevel="0" collapsed="false">
      <c r="A41" s="4" t="s">
        <v>35</v>
      </c>
      <c r="B41" s="4" t="s">
        <v>80</v>
      </c>
      <c r="C41" s="5" t="n">
        <v>0</v>
      </c>
      <c r="D41" s="5" t="n">
        <v>0</v>
      </c>
      <c r="E41" s="5" t="n">
        <v>0</v>
      </c>
      <c r="F41" s="5" t="n">
        <v>152</v>
      </c>
      <c r="G41" s="5" t="n">
        <v>684284</v>
      </c>
      <c r="H41" s="5" t="n">
        <v>3414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86156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5</v>
      </c>
      <c r="V41" s="5" t="n">
        <v>1</v>
      </c>
      <c r="W41" s="5" t="n">
        <v>300</v>
      </c>
      <c r="X41" s="5" t="n">
        <v>2249533</v>
      </c>
      <c r="Y41" s="5" t="n">
        <v>476645</v>
      </c>
      <c r="Z41" s="5" t="n">
        <v>11</v>
      </c>
      <c r="AA41" s="5" t="n">
        <v>81</v>
      </c>
      <c r="AB41" s="5" t="n">
        <v>2</v>
      </c>
      <c r="AC41" s="5" t="n">
        <v>64</v>
      </c>
      <c r="AD41" s="5" t="n">
        <v>18</v>
      </c>
      <c r="AE41" s="5" t="n">
        <v>307840</v>
      </c>
      <c r="AF41" s="5" t="n">
        <v>853</v>
      </c>
      <c r="AG41" s="5" t="n">
        <v>6347</v>
      </c>
      <c r="AH41" s="5" t="n">
        <v>0</v>
      </c>
      <c r="AI41" s="5" t="n">
        <v>0</v>
      </c>
      <c r="AJ41" s="5" t="n">
        <v>190</v>
      </c>
      <c r="AK41" s="5" t="n">
        <v>0</v>
      </c>
      <c r="AL41" s="5" t="n">
        <v>1632</v>
      </c>
      <c r="AM41" s="5" t="n">
        <v>3817529</v>
      </c>
      <c r="AN41" s="5" t="n">
        <f aca="false">SUM(C41:AL41)-AM41</f>
        <v>0</v>
      </c>
    </row>
    <row r="42" customFormat="false" ht="15" hidden="false" customHeight="false" outlineLevel="0" collapsed="false">
      <c r="A42" s="4" t="s">
        <v>35</v>
      </c>
      <c r="B42" s="4" t="s">
        <v>81</v>
      </c>
      <c r="C42" s="5" t="n">
        <v>0</v>
      </c>
      <c r="D42" s="5" t="n">
        <v>0</v>
      </c>
      <c r="E42" s="5" t="n">
        <v>0</v>
      </c>
      <c r="F42" s="5" t="n">
        <v>242</v>
      </c>
      <c r="G42" s="5" t="n">
        <v>32870</v>
      </c>
      <c r="H42" s="5" t="n">
        <v>2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11488</v>
      </c>
      <c r="N42" s="5" t="n">
        <v>0</v>
      </c>
      <c r="O42" s="5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2</v>
      </c>
      <c r="V42" s="5" t="n">
        <v>0</v>
      </c>
      <c r="W42" s="5" t="n">
        <v>69</v>
      </c>
      <c r="X42" s="5" t="n">
        <v>60917</v>
      </c>
      <c r="Y42" s="5" t="n">
        <v>152810</v>
      </c>
      <c r="Z42" s="5" t="n">
        <v>0</v>
      </c>
      <c r="AA42" s="5" t="n">
        <v>20</v>
      </c>
      <c r="AB42" s="5" t="n">
        <v>0</v>
      </c>
      <c r="AC42" s="5" t="n">
        <v>9</v>
      </c>
      <c r="AD42" s="5" t="n">
        <v>1</v>
      </c>
      <c r="AE42" s="5" t="n">
        <v>8410</v>
      </c>
      <c r="AF42" s="5" t="n">
        <v>118</v>
      </c>
      <c r="AG42" s="5" t="n">
        <v>232</v>
      </c>
      <c r="AH42" s="5" t="n">
        <v>0</v>
      </c>
      <c r="AI42" s="5" t="n">
        <v>0</v>
      </c>
      <c r="AJ42" s="5" t="n">
        <v>185</v>
      </c>
      <c r="AK42" s="5" t="n">
        <v>0</v>
      </c>
      <c r="AL42" s="5" t="n">
        <v>13</v>
      </c>
      <c r="AM42" s="5" t="n">
        <v>267389</v>
      </c>
      <c r="AN42" s="5" t="n">
        <f aca="false">SUM(C42:AL42)-AM42</f>
        <v>0</v>
      </c>
    </row>
    <row r="43" customFormat="false" ht="15" hidden="false" customHeight="false" outlineLevel="0" collapsed="false">
      <c r="A43" s="4" t="s">
        <v>36</v>
      </c>
      <c r="B43" s="4" t="s">
        <v>80</v>
      </c>
      <c r="C43" s="5" t="n">
        <v>0</v>
      </c>
      <c r="D43" s="5" t="n">
        <v>0</v>
      </c>
      <c r="E43" s="5" t="n">
        <v>0</v>
      </c>
      <c r="F43" s="5" t="n">
        <v>243</v>
      </c>
      <c r="G43" s="5" t="n">
        <v>736112</v>
      </c>
      <c r="H43" s="5" t="n">
        <v>5319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62586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5</v>
      </c>
      <c r="V43" s="5" t="n">
        <v>0</v>
      </c>
      <c r="W43" s="5" t="n">
        <v>221</v>
      </c>
      <c r="X43" s="5" t="n">
        <v>2106114</v>
      </c>
      <c r="Y43" s="5" t="n">
        <v>626902</v>
      </c>
      <c r="Z43" s="5" t="n">
        <v>35833</v>
      </c>
      <c r="AA43" s="5" t="n">
        <v>152</v>
      </c>
      <c r="AB43" s="5" t="n">
        <v>2</v>
      </c>
      <c r="AC43" s="5" t="n">
        <v>47</v>
      </c>
      <c r="AD43" s="5" t="n">
        <v>44</v>
      </c>
      <c r="AE43" s="5" t="n">
        <v>262859</v>
      </c>
      <c r="AF43" s="5" t="n">
        <v>735</v>
      </c>
      <c r="AG43" s="5" t="n">
        <v>9563</v>
      </c>
      <c r="AH43" s="5" t="n">
        <v>0</v>
      </c>
      <c r="AI43" s="5" t="n">
        <v>75</v>
      </c>
      <c r="AJ43" s="5" t="n">
        <v>44911</v>
      </c>
      <c r="AK43" s="5" t="n">
        <v>0</v>
      </c>
      <c r="AL43" s="5" t="n">
        <v>79952</v>
      </c>
      <c r="AM43" s="5" t="n">
        <v>3971675</v>
      </c>
      <c r="AN43" s="5" t="n">
        <f aca="false">SUM(C43:AL43)-AM43</f>
        <v>0</v>
      </c>
    </row>
    <row r="44" customFormat="false" ht="15" hidden="false" customHeight="false" outlineLevel="0" collapsed="false">
      <c r="A44" s="4" t="s">
        <v>36</v>
      </c>
      <c r="B44" s="4" t="s">
        <v>81</v>
      </c>
      <c r="C44" s="5" t="n">
        <v>0</v>
      </c>
      <c r="D44" s="5" t="n">
        <v>0</v>
      </c>
      <c r="E44" s="5" t="n">
        <v>0</v>
      </c>
      <c r="F44" s="5" t="n">
        <v>125</v>
      </c>
      <c r="G44" s="5" t="n">
        <v>31953</v>
      </c>
      <c r="H44" s="5" t="n">
        <v>23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4479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98</v>
      </c>
      <c r="X44" s="5" t="n">
        <v>51014</v>
      </c>
      <c r="Y44" s="5" t="n">
        <v>200150</v>
      </c>
      <c r="Z44" s="5" t="n">
        <v>74</v>
      </c>
      <c r="AA44" s="5" t="n">
        <v>36</v>
      </c>
      <c r="AB44" s="5" t="n">
        <v>0</v>
      </c>
      <c r="AC44" s="5" t="n">
        <v>23</v>
      </c>
      <c r="AD44" s="5" t="n">
        <v>2</v>
      </c>
      <c r="AE44" s="5" t="n">
        <v>11016</v>
      </c>
      <c r="AF44" s="5" t="n">
        <v>155</v>
      </c>
      <c r="AG44" s="5" t="n">
        <v>372</v>
      </c>
      <c r="AH44" s="5" t="n">
        <v>0</v>
      </c>
      <c r="AI44" s="5" t="n">
        <v>0</v>
      </c>
      <c r="AJ44" s="5" t="n">
        <v>3947</v>
      </c>
      <c r="AK44" s="5" t="n">
        <v>0</v>
      </c>
      <c r="AL44" s="5" t="n">
        <v>1468</v>
      </c>
      <c r="AM44" s="5" t="n">
        <v>304935</v>
      </c>
      <c r="AN44" s="5" t="n">
        <f aca="false">SUM(C44:AL44)-AM44</f>
        <v>0</v>
      </c>
    </row>
    <row r="46" customFormat="false" ht="15" hidden="false" customHeight="false" outlineLevel="0" collapsed="false">
      <c r="A46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1" t="s">
        <v>83</v>
      </c>
      <c r="B1" s="11" t="s">
        <v>84</v>
      </c>
    </row>
    <row r="2" customFormat="false" ht="15" hidden="false" customHeight="false" outlineLevel="0" collapsed="false">
      <c r="A2" s="7" t="s">
        <v>3</v>
      </c>
      <c r="B2" s="12" t="s">
        <v>85</v>
      </c>
    </row>
    <row r="3" customFormat="false" ht="15" hidden="false" customHeight="false" outlineLevel="0" collapsed="false">
      <c r="A3" s="7" t="s">
        <v>4</v>
      </c>
      <c r="B3" s="12" t="s">
        <v>86</v>
      </c>
    </row>
    <row r="4" customFormat="false" ht="15" hidden="false" customHeight="false" outlineLevel="0" collapsed="false">
      <c r="A4" s="7" t="s">
        <v>5</v>
      </c>
      <c r="B4" s="12" t="s">
        <v>87</v>
      </c>
    </row>
    <row r="5" customFormat="false" ht="15" hidden="false" customHeight="false" outlineLevel="0" collapsed="false">
      <c r="A5" s="7" t="s">
        <v>6</v>
      </c>
      <c r="B5" s="12" t="s">
        <v>88</v>
      </c>
    </row>
    <row r="6" customFormat="false" ht="15" hidden="false" customHeight="false" outlineLevel="0" collapsed="false">
      <c r="A6" s="7" t="s">
        <v>7</v>
      </c>
      <c r="B6" s="12" t="s">
        <v>89</v>
      </c>
    </row>
    <row r="7" customFormat="false" ht="15" hidden="false" customHeight="false" outlineLevel="0" collapsed="false">
      <c r="A7" s="7" t="s">
        <v>8</v>
      </c>
      <c r="B7" s="12" t="s">
        <v>90</v>
      </c>
    </row>
    <row r="8" customFormat="false" ht="15" hidden="false" customHeight="false" outlineLevel="0" collapsed="false">
      <c r="A8" s="7" t="s">
        <v>9</v>
      </c>
      <c r="B8" s="12" t="s">
        <v>91</v>
      </c>
    </row>
    <row r="11" customFormat="false" ht="15" hidden="false" customHeight="false" outlineLevel="0" collapsed="false">
      <c r="A11" s="7" t="s">
        <v>92</v>
      </c>
    </row>
    <row r="12" customFormat="false" ht="15" hidden="false" customHeight="false" outlineLevel="0" collapsed="false">
      <c r="A12" s="12" t="s">
        <v>93</v>
      </c>
    </row>
    <row r="13" customFormat="false" ht="15" hidden="false" customHeight="false" outlineLevel="0" collapsed="false">
      <c r="A13" s="12" t="s">
        <v>94</v>
      </c>
    </row>
    <row r="14" customFormat="false" ht="15" hidden="false" customHeight="false" outlineLevel="0" collapsed="false">
      <c r="A14" s="12" t="s">
        <v>95</v>
      </c>
    </row>
    <row r="15" customFormat="false" ht="15" hidden="false" customHeight="false" outlineLevel="0" collapsed="false">
      <c r="A15" s="12" t="s">
        <v>96</v>
      </c>
    </row>
    <row r="16" customFormat="false" ht="15" hidden="false" customHeight="false" outlineLevel="0" collapsed="false">
      <c r="A16" s="1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2026-10-29T02:09:16Z</dcterms:created>
  <dc:creator>openpyxl</dc:creator>
  <dc:description/>
  <dc:language>en-US</dc:language>
  <cp:lastModifiedBy/>
  <dcterms:modified xsi:type="dcterms:W3CDTF">2026-10-29T02:09:17Z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